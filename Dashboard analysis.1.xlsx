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Materi Data Entry\"/>
    </mc:Choice>
  </mc:AlternateContent>
  <xr:revisionPtr revIDLastSave="0" documentId="13_ncr:1_{1EB75181-B7C8-44CB-B4D8-8DECABBB323D}" xr6:coauthVersionLast="47" xr6:coauthVersionMax="47" xr10:uidLastSave="{00000000-0000-0000-0000-000000000000}"/>
  <bookViews>
    <workbookView xWindow="-110" yWindow="-110" windowWidth="19420" windowHeight="10300" activeTab="3" xr2:uid="{DEC283DE-9511-4D31-9C09-739AD7F002EA}"/>
  </bookViews>
  <sheets>
    <sheet name="Sheet3" sheetId="4" r:id="rId1"/>
    <sheet name="supermarket_sales new" sheetId="2" r:id="rId2"/>
    <sheet name="Analysis" sheetId="3" r:id="rId3"/>
    <sheet name="Sheet1" sheetId="1" r:id="rId4"/>
  </sheets>
  <definedNames>
    <definedName name="ExternalData_1" localSheetId="1" hidden="1">'supermarket_sales new'!$A$1:$I$1001</definedName>
    <definedName name="_xlnm.Print_Area" localSheetId="3">Sheet1!$A$1:$W$33</definedName>
    <definedName name="Slicer_Branch">#N/A</definedName>
    <definedName name="Slicer_City">#N/A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1" i="3" l="1"/>
  <c r="J73" i="3" s="1"/>
  <c r="I71" i="3"/>
  <c r="I75" i="3" s="1"/>
  <c r="H71" i="3"/>
  <c r="H73" i="3" s="1"/>
  <c r="G72" i="3" a="1"/>
  <c r="G72" i="3" s="1"/>
  <c r="H17" i="3"/>
  <c r="H18" i="3"/>
  <c r="H19" i="3"/>
  <c r="H20" i="3"/>
  <c r="H21" i="3"/>
  <c r="H16" i="3"/>
  <c r="E16" i="3" a="1"/>
  <c r="E16" i="3" s="1"/>
  <c r="F16" i="3" s="1"/>
  <c r="G16" i="3" s="1"/>
  <c r="I74" i="3" l="1"/>
  <c r="I73" i="3"/>
  <c r="I72" i="3"/>
  <c r="I77" i="3"/>
  <c r="I76" i="3"/>
  <c r="J72" i="3"/>
  <c r="J77" i="3"/>
  <c r="J76" i="3"/>
  <c r="J75" i="3"/>
  <c r="J74" i="3"/>
  <c r="H72" i="3"/>
  <c r="H77" i="3"/>
  <c r="H76" i="3"/>
  <c r="H75" i="3"/>
  <c r="H74" i="3"/>
  <c r="F19" i="3"/>
  <c r="G19" i="3" s="1"/>
  <c r="F21" i="3"/>
  <c r="G21" i="3" s="1"/>
  <c r="F20" i="3"/>
  <c r="G20" i="3" s="1"/>
  <c r="F18" i="3"/>
  <c r="G18" i="3" s="1"/>
  <c r="F17" i="3"/>
  <c r="G17" i="3" s="1"/>
  <c r="B3" i="4"/>
  <c r="C34" i="3"/>
  <c r="F3" i="3" a="1"/>
  <c r="F3" i="3" s="1"/>
  <c r="E3" i="3" a="1"/>
  <c r="E3" i="3" s="1"/>
  <c r="I3" i="2" l="1"/>
  <c r="J3" i="2" s="1"/>
  <c r="I4" i="2"/>
  <c r="J4" i="2" s="1"/>
  <c r="I5" i="2"/>
  <c r="J5" i="2" s="1"/>
  <c r="I6" i="2"/>
  <c r="J6" i="2" s="1"/>
  <c r="I7" i="2"/>
  <c r="J7" i="2" s="1"/>
  <c r="I8" i="2"/>
  <c r="J8" i="2" s="1"/>
  <c r="I9" i="2"/>
  <c r="J9" i="2" s="1"/>
  <c r="I10" i="2"/>
  <c r="J10" i="2" s="1"/>
  <c r="I11" i="2"/>
  <c r="J11" i="2" s="1"/>
  <c r="I12" i="2"/>
  <c r="J12" i="2" s="1"/>
  <c r="I13" i="2"/>
  <c r="J13" i="2" s="1"/>
  <c r="I14" i="2"/>
  <c r="J14" i="2" s="1"/>
  <c r="I15" i="2"/>
  <c r="I16" i="2"/>
  <c r="J16" i="2" s="1"/>
  <c r="I17" i="2"/>
  <c r="I18" i="2"/>
  <c r="J18" i="2" s="1"/>
  <c r="I19" i="2"/>
  <c r="J19" i="2" s="1"/>
  <c r="I20" i="2"/>
  <c r="J20" i="2" s="1"/>
  <c r="I21" i="2"/>
  <c r="J21" i="2" s="1"/>
  <c r="I22" i="2"/>
  <c r="J22" i="2" s="1"/>
  <c r="I23" i="2"/>
  <c r="J23" i="2" s="1"/>
  <c r="I24" i="2"/>
  <c r="J24" i="2" s="1"/>
  <c r="I25" i="2"/>
  <c r="J25" i="2" s="1"/>
  <c r="I26" i="2"/>
  <c r="J26" i="2" s="1"/>
  <c r="I27" i="2"/>
  <c r="J27" i="2" s="1"/>
  <c r="I28" i="2"/>
  <c r="J28" i="2" s="1"/>
  <c r="I29" i="2"/>
  <c r="J29" i="2" s="1"/>
  <c r="I30" i="2"/>
  <c r="J30" i="2" s="1"/>
  <c r="I31" i="2"/>
  <c r="J31" i="2" s="1"/>
  <c r="I32" i="2"/>
  <c r="J32" i="2" s="1"/>
  <c r="I33" i="2"/>
  <c r="J33" i="2" s="1"/>
  <c r="I34" i="2"/>
  <c r="J34" i="2" s="1"/>
  <c r="I35" i="2"/>
  <c r="J35" i="2" s="1"/>
  <c r="I36" i="2"/>
  <c r="J36" i="2" s="1"/>
  <c r="I37" i="2"/>
  <c r="J37" i="2" s="1"/>
  <c r="I38" i="2"/>
  <c r="J38" i="2" s="1"/>
  <c r="I39" i="2"/>
  <c r="J39" i="2" s="1"/>
  <c r="I40" i="2"/>
  <c r="J40" i="2" s="1"/>
  <c r="I41" i="2"/>
  <c r="J41" i="2" s="1"/>
  <c r="I42" i="2"/>
  <c r="J42" i="2" s="1"/>
  <c r="I43" i="2"/>
  <c r="J43" i="2" s="1"/>
  <c r="I44" i="2"/>
  <c r="J44" i="2" s="1"/>
  <c r="I45" i="2"/>
  <c r="J45" i="2" s="1"/>
  <c r="I46" i="2"/>
  <c r="J46" i="2" s="1"/>
  <c r="I47" i="2"/>
  <c r="J47" i="2" s="1"/>
  <c r="I48" i="2"/>
  <c r="J48" i="2" s="1"/>
  <c r="I49" i="2"/>
  <c r="J49" i="2" s="1"/>
  <c r="I50" i="2"/>
  <c r="J50" i="2" s="1"/>
  <c r="I51" i="2"/>
  <c r="I52" i="2"/>
  <c r="I53" i="2"/>
  <c r="I54" i="2"/>
  <c r="J54" i="2" s="1"/>
  <c r="I55" i="2"/>
  <c r="J55" i="2" s="1"/>
  <c r="I56" i="2"/>
  <c r="J56" i="2" s="1"/>
  <c r="I57" i="2"/>
  <c r="J57" i="2" s="1"/>
  <c r="I58" i="2"/>
  <c r="J58" i="2" s="1"/>
  <c r="I59" i="2"/>
  <c r="J59" i="2" s="1"/>
  <c r="I60" i="2"/>
  <c r="J60" i="2" s="1"/>
  <c r="I61" i="2"/>
  <c r="J61" i="2" s="1"/>
  <c r="I62" i="2"/>
  <c r="J62" i="2" s="1"/>
  <c r="I63" i="2"/>
  <c r="J63" i="2" s="1"/>
  <c r="I64" i="2"/>
  <c r="I65" i="2"/>
  <c r="J65" i="2" s="1"/>
  <c r="I66" i="2"/>
  <c r="J66" i="2" s="1"/>
  <c r="I67" i="2"/>
  <c r="J67" i="2" s="1"/>
  <c r="I68" i="2"/>
  <c r="J68" i="2" s="1"/>
  <c r="I69" i="2"/>
  <c r="J69" i="2" s="1"/>
  <c r="I70" i="2"/>
  <c r="J70" i="2" s="1"/>
  <c r="I71" i="2"/>
  <c r="J71" i="2" s="1"/>
  <c r="I72" i="2"/>
  <c r="J72" i="2" s="1"/>
  <c r="I73" i="2"/>
  <c r="J73" i="2" s="1"/>
  <c r="I74" i="2"/>
  <c r="J74" i="2" s="1"/>
  <c r="I75" i="2"/>
  <c r="J75" i="2" s="1"/>
  <c r="I76" i="2"/>
  <c r="J76" i="2" s="1"/>
  <c r="I77" i="2"/>
  <c r="J77" i="2" s="1"/>
  <c r="I78" i="2"/>
  <c r="J78" i="2" s="1"/>
  <c r="I79" i="2"/>
  <c r="J79" i="2" s="1"/>
  <c r="I80" i="2"/>
  <c r="J80" i="2" s="1"/>
  <c r="I81" i="2"/>
  <c r="J81" i="2" s="1"/>
  <c r="I82" i="2"/>
  <c r="J82" i="2" s="1"/>
  <c r="I83" i="2"/>
  <c r="J83" i="2" s="1"/>
  <c r="I84" i="2"/>
  <c r="J84" i="2" s="1"/>
  <c r="I85" i="2"/>
  <c r="J85" i="2" s="1"/>
  <c r="I86" i="2"/>
  <c r="J86" i="2" s="1"/>
  <c r="I87" i="2"/>
  <c r="J87" i="2" s="1"/>
  <c r="I88" i="2"/>
  <c r="J88" i="2" s="1"/>
  <c r="I89" i="2"/>
  <c r="J89" i="2" s="1"/>
  <c r="I90" i="2"/>
  <c r="J90" i="2" s="1"/>
  <c r="I91" i="2"/>
  <c r="J91" i="2" s="1"/>
  <c r="I92" i="2"/>
  <c r="J92" i="2" s="1"/>
  <c r="I93" i="2"/>
  <c r="J93" i="2" s="1"/>
  <c r="I94" i="2"/>
  <c r="J94" i="2" s="1"/>
  <c r="I95" i="2"/>
  <c r="J95" i="2" s="1"/>
  <c r="I96" i="2"/>
  <c r="J96" i="2" s="1"/>
  <c r="I97" i="2"/>
  <c r="J97" i="2" s="1"/>
  <c r="I98" i="2"/>
  <c r="J98" i="2" s="1"/>
  <c r="I99" i="2"/>
  <c r="I100" i="2"/>
  <c r="J100" i="2" s="1"/>
  <c r="I101" i="2"/>
  <c r="J101" i="2" s="1"/>
  <c r="I102" i="2"/>
  <c r="J102" i="2" s="1"/>
  <c r="I103" i="2"/>
  <c r="I104" i="2"/>
  <c r="J104" i="2" s="1"/>
  <c r="I105" i="2"/>
  <c r="J105" i="2" s="1"/>
  <c r="I106" i="2"/>
  <c r="J106" i="2" s="1"/>
  <c r="I107" i="2"/>
  <c r="J107" i="2" s="1"/>
  <c r="I108" i="2"/>
  <c r="J108" i="2" s="1"/>
  <c r="I109" i="2"/>
  <c r="J109" i="2" s="1"/>
  <c r="I110" i="2"/>
  <c r="J110" i="2" s="1"/>
  <c r="I111" i="2"/>
  <c r="I112" i="2"/>
  <c r="J112" i="2" s="1"/>
  <c r="I113" i="2"/>
  <c r="J113" i="2" s="1"/>
  <c r="I114" i="2"/>
  <c r="J114" i="2" s="1"/>
  <c r="I115" i="2"/>
  <c r="J115" i="2" s="1"/>
  <c r="I116" i="2"/>
  <c r="J116" i="2" s="1"/>
  <c r="I117" i="2"/>
  <c r="J117" i="2" s="1"/>
  <c r="I118" i="2"/>
  <c r="J118" i="2" s="1"/>
  <c r="I119" i="2"/>
  <c r="J119" i="2" s="1"/>
  <c r="I120" i="2"/>
  <c r="J120" i="2" s="1"/>
  <c r="I121" i="2"/>
  <c r="J121" i="2" s="1"/>
  <c r="I122" i="2"/>
  <c r="J122" i="2" s="1"/>
  <c r="I123" i="2"/>
  <c r="J123" i="2" s="1"/>
  <c r="I124" i="2"/>
  <c r="J124" i="2" s="1"/>
  <c r="I125" i="2"/>
  <c r="J125" i="2" s="1"/>
  <c r="I126" i="2"/>
  <c r="J126" i="2" s="1"/>
  <c r="I127" i="2"/>
  <c r="J127" i="2" s="1"/>
  <c r="I128" i="2"/>
  <c r="J128" i="2" s="1"/>
  <c r="I129" i="2"/>
  <c r="J129" i="2" s="1"/>
  <c r="I130" i="2"/>
  <c r="J130" i="2" s="1"/>
  <c r="I131" i="2"/>
  <c r="J131" i="2" s="1"/>
  <c r="I132" i="2"/>
  <c r="J132" i="2" s="1"/>
  <c r="I133" i="2"/>
  <c r="J133" i="2" s="1"/>
  <c r="I134" i="2"/>
  <c r="J134" i="2" s="1"/>
  <c r="I135" i="2"/>
  <c r="J135" i="2" s="1"/>
  <c r="I136" i="2"/>
  <c r="J136" i="2" s="1"/>
  <c r="I137" i="2"/>
  <c r="J137" i="2" s="1"/>
  <c r="I138" i="2"/>
  <c r="J138" i="2" s="1"/>
  <c r="I139" i="2"/>
  <c r="J139" i="2" s="1"/>
  <c r="I140" i="2"/>
  <c r="J140" i="2" s="1"/>
  <c r="I141" i="2"/>
  <c r="J141" i="2" s="1"/>
  <c r="I142" i="2"/>
  <c r="J142" i="2" s="1"/>
  <c r="I143" i="2"/>
  <c r="J143" i="2" s="1"/>
  <c r="I144" i="2"/>
  <c r="J144" i="2" s="1"/>
  <c r="I145" i="2"/>
  <c r="J145" i="2" s="1"/>
  <c r="I146" i="2"/>
  <c r="J146" i="2" s="1"/>
  <c r="I147" i="2"/>
  <c r="I148" i="2"/>
  <c r="J148" i="2" s="1"/>
  <c r="I149" i="2"/>
  <c r="I150" i="2"/>
  <c r="J150" i="2" s="1"/>
  <c r="I151" i="2"/>
  <c r="J151" i="2" s="1"/>
  <c r="I152" i="2"/>
  <c r="J152" i="2" s="1"/>
  <c r="I153" i="2"/>
  <c r="J153" i="2" s="1"/>
  <c r="I154" i="2"/>
  <c r="J154" i="2" s="1"/>
  <c r="I155" i="2"/>
  <c r="J155" i="2" s="1"/>
  <c r="I156" i="2"/>
  <c r="J156" i="2" s="1"/>
  <c r="I157" i="2"/>
  <c r="J157" i="2" s="1"/>
  <c r="I158" i="2"/>
  <c r="J158" i="2" s="1"/>
  <c r="I159" i="2"/>
  <c r="I160" i="2"/>
  <c r="J160" i="2" s="1"/>
  <c r="I161" i="2"/>
  <c r="J161" i="2" s="1"/>
  <c r="I162" i="2"/>
  <c r="J162" i="2" s="1"/>
  <c r="I163" i="2"/>
  <c r="J163" i="2" s="1"/>
  <c r="I164" i="2"/>
  <c r="J164" i="2" s="1"/>
  <c r="I165" i="2"/>
  <c r="J165" i="2" s="1"/>
  <c r="I166" i="2"/>
  <c r="J166" i="2" s="1"/>
  <c r="I167" i="2"/>
  <c r="J167" i="2" s="1"/>
  <c r="I168" i="2"/>
  <c r="J168" i="2" s="1"/>
  <c r="I169" i="2"/>
  <c r="J169" i="2" s="1"/>
  <c r="I170" i="2"/>
  <c r="J170" i="2" s="1"/>
  <c r="I171" i="2"/>
  <c r="J171" i="2" s="1"/>
  <c r="I172" i="2"/>
  <c r="J172" i="2" s="1"/>
  <c r="I173" i="2"/>
  <c r="J173" i="2" s="1"/>
  <c r="I174" i="2"/>
  <c r="J174" i="2" s="1"/>
  <c r="I175" i="2"/>
  <c r="J175" i="2" s="1"/>
  <c r="I176" i="2"/>
  <c r="J176" i="2" s="1"/>
  <c r="I177" i="2"/>
  <c r="J177" i="2" s="1"/>
  <c r="I178" i="2"/>
  <c r="J178" i="2" s="1"/>
  <c r="I179" i="2"/>
  <c r="J179" i="2" s="1"/>
  <c r="I180" i="2"/>
  <c r="J180" i="2" s="1"/>
  <c r="I181" i="2"/>
  <c r="J181" i="2" s="1"/>
  <c r="I182" i="2"/>
  <c r="J182" i="2" s="1"/>
  <c r="I183" i="2"/>
  <c r="J183" i="2" s="1"/>
  <c r="I184" i="2"/>
  <c r="J184" i="2" s="1"/>
  <c r="I185" i="2"/>
  <c r="J185" i="2" s="1"/>
  <c r="I186" i="2"/>
  <c r="J186" i="2" s="1"/>
  <c r="I187" i="2"/>
  <c r="J187" i="2" s="1"/>
  <c r="I188" i="2"/>
  <c r="J188" i="2" s="1"/>
  <c r="I189" i="2"/>
  <c r="J189" i="2" s="1"/>
  <c r="I190" i="2"/>
  <c r="J190" i="2" s="1"/>
  <c r="I191" i="2"/>
  <c r="J191" i="2" s="1"/>
  <c r="I192" i="2"/>
  <c r="J192" i="2" s="1"/>
  <c r="I193" i="2"/>
  <c r="J193" i="2" s="1"/>
  <c r="I194" i="2"/>
  <c r="J194" i="2" s="1"/>
  <c r="I195" i="2"/>
  <c r="I196" i="2"/>
  <c r="J196" i="2" s="1"/>
  <c r="I197" i="2"/>
  <c r="J197" i="2" s="1"/>
  <c r="I198" i="2"/>
  <c r="J198" i="2" s="1"/>
  <c r="I199" i="2"/>
  <c r="J199" i="2" s="1"/>
  <c r="I200" i="2"/>
  <c r="J200" i="2" s="1"/>
  <c r="I201" i="2"/>
  <c r="J201" i="2" s="1"/>
  <c r="I202" i="2"/>
  <c r="J202" i="2" s="1"/>
  <c r="I203" i="2"/>
  <c r="J203" i="2" s="1"/>
  <c r="I204" i="2"/>
  <c r="J204" i="2" s="1"/>
  <c r="I205" i="2"/>
  <c r="J205" i="2" s="1"/>
  <c r="I206" i="2"/>
  <c r="J206" i="2" s="1"/>
  <c r="I207" i="2"/>
  <c r="J207" i="2" s="1"/>
  <c r="I208" i="2"/>
  <c r="J208" i="2" s="1"/>
  <c r="I209" i="2"/>
  <c r="J209" i="2" s="1"/>
  <c r="I210" i="2"/>
  <c r="J210" i="2" s="1"/>
  <c r="I211" i="2"/>
  <c r="J211" i="2" s="1"/>
  <c r="I212" i="2"/>
  <c r="J212" i="2" s="1"/>
  <c r="I213" i="2"/>
  <c r="J213" i="2" s="1"/>
  <c r="I214" i="2"/>
  <c r="J214" i="2" s="1"/>
  <c r="I215" i="2"/>
  <c r="J215" i="2" s="1"/>
  <c r="I216" i="2"/>
  <c r="J216" i="2" s="1"/>
  <c r="I217" i="2"/>
  <c r="J217" i="2" s="1"/>
  <c r="I218" i="2"/>
  <c r="J218" i="2" s="1"/>
  <c r="I219" i="2"/>
  <c r="I220" i="2"/>
  <c r="J220" i="2" s="1"/>
  <c r="I221" i="2"/>
  <c r="J221" i="2" s="1"/>
  <c r="I222" i="2"/>
  <c r="J222" i="2" s="1"/>
  <c r="I223" i="2"/>
  <c r="J223" i="2" s="1"/>
  <c r="I224" i="2"/>
  <c r="J224" i="2" s="1"/>
  <c r="I225" i="2"/>
  <c r="J225" i="2" s="1"/>
  <c r="I226" i="2"/>
  <c r="J226" i="2" s="1"/>
  <c r="I227" i="2"/>
  <c r="J227" i="2" s="1"/>
  <c r="I228" i="2"/>
  <c r="J228" i="2" s="1"/>
  <c r="I229" i="2"/>
  <c r="J229" i="2" s="1"/>
  <c r="I230" i="2"/>
  <c r="J230" i="2" s="1"/>
  <c r="I231" i="2"/>
  <c r="J231" i="2" s="1"/>
  <c r="I232" i="2"/>
  <c r="J232" i="2" s="1"/>
  <c r="I233" i="2"/>
  <c r="I234" i="2"/>
  <c r="J234" i="2" s="1"/>
  <c r="I235" i="2"/>
  <c r="J235" i="2" s="1"/>
  <c r="I236" i="2"/>
  <c r="J236" i="2" s="1"/>
  <c r="I237" i="2"/>
  <c r="J237" i="2" s="1"/>
  <c r="I238" i="2"/>
  <c r="J238" i="2" s="1"/>
  <c r="I239" i="2"/>
  <c r="J239" i="2" s="1"/>
  <c r="I240" i="2"/>
  <c r="J240" i="2" s="1"/>
  <c r="I241" i="2"/>
  <c r="J241" i="2" s="1"/>
  <c r="I242" i="2"/>
  <c r="J242" i="2" s="1"/>
  <c r="I243" i="2"/>
  <c r="J243" i="2" s="1"/>
  <c r="I244" i="2"/>
  <c r="J244" i="2" s="1"/>
  <c r="I245" i="2"/>
  <c r="I246" i="2"/>
  <c r="J246" i="2" s="1"/>
  <c r="I247" i="2"/>
  <c r="J247" i="2" s="1"/>
  <c r="I248" i="2"/>
  <c r="J248" i="2" s="1"/>
  <c r="I249" i="2"/>
  <c r="J249" i="2" s="1"/>
  <c r="I250" i="2"/>
  <c r="J250" i="2" s="1"/>
  <c r="I251" i="2"/>
  <c r="J251" i="2" s="1"/>
  <c r="I252" i="2"/>
  <c r="J252" i="2" s="1"/>
  <c r="I253" i="2"/>
  <c r="J253" i="2" s="1"/>
  <c r="I254" i="2"/>
  <c r="J254" i="2" s="1"/>
  <c r="I255" i="2"/>
  <c r="I256" i="2"/>
  <c r="J256" i="2" s="1"/>
  <c r="I257" i="2"/>
  <c r="J257" i="2" s="1"/>
  <c r="I258" i="2"/>
  <c r="J258" i="2" s="1"/>
  <c r="I259" i="2"/>
  <c r="J259" i="2" s="1"/>
  <c r="I260" i="2"/>
  <c r="J260" i="2" s="1"/>
  <c r="I261" i="2"/>
  <c r="J261" i="2" s="1"/>
  <c r="I262" i="2"/>
  <c r="J262" i="2" s="1"/>
  <c r="I263" i="2"/>
  <c r="J263" i="2" s="1"/>
  <c r="I264" i="2"/>
  <c r="J264" i="2" s="1"/>
  <c r="I265" i="2"/>
  <c r="J265" i="2" s="1"/>
  <c r="I266" i="2"/>
  <c r="J266" i="2" s="1"/>
  <c r="I267" i="2"/>
  <c r="I268" i="2"/>
  <c r="J268" i="2" s="1"/>
  <c r="I269" i="2"/>
  <c r="J269" i="2" s="1"/>
  <c r="I270" i="2"/>
  <c r="J270" i="2" s="1"/>
  <c r="I271" i="2"/>
  <c r="J271" i="2" s="1"/>
  <c r="I272" i="2"/>
  <c r="J272" i="2" s="1"/>
  <c r="I273" i="2"/>
  <c r="J273" i="2" s="1"/>
  <c r="I274" i="2"/>
  <c r="J274" i="2" s="1"/>
  <c r="I275" i="2"/>
  <c r="J275" i="2" s="1"/>
  <c r="I276" i="2"/>
  <c r="J276" i="2" s="1"/>
  <c r="I277" i="2"/>
  <c r="J277" i="2" s="1"/>
  <c r="I278" i="2"/>
  <c r="J278" i="2" s="1"/>
  <c r="I279" i="2"/>
  <c r="J279" i="2" s="1"/>
  <c r="I280" i="2"/>
  <c r="J280" i="2" s="1"/>
  <c r="I281" i="2"/>
  <c r="J281" i="2" s="1"/>
  <c r="I282" i="2"/>
  <c r="J282" i="2" s="1"/>
  <c r="I283" i="2"/>
  <c r="J283" i="2" s="1"/>
  <c r="I284" i="2"/>
  <c r="J284" i="2" s="1"/>
  <c r="I285" i="2"/>
  <c r="J285" i="2" s="1"/>
  <c r="I286" i="2"/>
  <c r="J286" i="2" s="1"/>
  <c r="I287" i="2"/>
  <c r="J287" i="2" s="1"/>
  <c r="I288" i="2"/>
  <c r="J288" i="2" s="1"/>
  <c r="I289" i="2"/>
  <c r="J289" i="2" s="1"/>
  <c r="I290" i="2"/>
  <c r="J290" i="2" s="1"/>
  <c r="I291" i="2"/>
  <c r="J291" i="2" s="1"/>
  <c r="I292" i="2"/>
  <c r="J292" i="2" s="1"/>
  <c r="I293" i="2"/>
  <c r="J293" i="2" s="1"/>
  <c r="I294" i="2"/>
  <c r="J294" i="2" s="1"/>
  <c r="I295" i="2"/>
  <c r="J295" i="2" s="1"/>
  <c r="I296" i="2"/>
  <c r="J296" i="2" s="1"/>
  <c r="I297" i="2"/>
  <c r="J297" i="2" s="1"/>
  <c r="I298" i="2"/>
  <c r="J298" i="2" s="1"/>
  <c r="I299" i="2"/>
  <c r="J299" i="2" s="1"/>
  <c r="I300" i="2"/>
  <c r="J300" i="2" s="1"/>
  <c r="I301" i="2"/>
  <c r="J301" i="2" s="1"/>
  <c r="I302" i="2"/>
  <c r="J302" i="2" s="1"/>
  <c r="I303" i="2"/>
  <c r="J303" i="2" s="1"/>
  <c r="I304" i="2"/>
  <c r="J304" i="2" s="1"/>
  <c r="I305" i="2"/>
  <c r="I306" i="2"/>
  <c r="J306" i="2" s="1"/>
  <c r="I307" i="2"/>
  <c r="J307" i="2" s="1"/>
  <c r="I308" i="2"/>
  <c r="J308" i="2" s="1"/>
  <c r="I309" i="2"/>
  <c r="J309" i="2" s="1"/>
  <c r="I310" i="2"/>
  <c r="J310" i="2" s="1"/>
  <c r="I311" i="2"/>
  <c r="J311" i="2" s="1"/>
  <c r="I312" i="2"/>
  <c r="J312" i="2" s="1"/>
  <c r="I313" i="2"/>
  <c r="J313" i="2" s="1"/>
  <c r="I314" i="2"/>
  <c r="J314" i="2" s="1"/>
  <c r="I315" i="2"/>
  <c r="J315" i="2" s="1"/>
  <c r="I316" i="2"/>
  <c r="J316" i="2" s="1"/>
  <c r="I317" i="2"/>
  <c r="J317" i="2" s="1"/>
  <c r="I318" i="2"/>
  <c r="J318" i="2" s="1"/>
  <c r="I319" i="2"/>
  <c r="J319" i="2" s="1"/>
  <c r="I320" i="2"/>
  <c r="J320" i="2" s="1"/>
  <c r="I321" i="2"/>
  <c r="J321" i="2" s="1"/>
  <c r="I322" i="2"/>
  <c r="J322" i="2" s="1"/>
  <c r="I323" i="2"/>
  <c r="J323" i="2" s="1"/>
  <c r="I324" i="2"/>
  <c r="J324" i="2" s="1"/>
  <c r="I325" i="2"/>
  <c r="J325" i="2" s="1"/>
  <c r="I326" i="2"/>
  <c r="J326" i="2" s="1"/>
  <c r="I327" i="2"/>
  <c r="J327" i="2" s="1"/>
  <c r="I328" i="2"/>
  <c r="J328" i="2" s="1"/>
  <c r="I329" i="2"/>
  <c r="J329" i="2" s="1"/>
  <c r="I330" i="2"/>
  <c r="J330" i="2" s="1"/>
  <c r="I331" i="2"/>
  <c r="J331" i="2" s="1"/>
  <c r="I332" i="2"/>
  <c r="J332" i="2" s="1"/>
  <c r="I333" i="2"/>
  <c r="J333" i="2" s="1"/>
  <c r="I334" i="2"/>
  <c r="J334" i="2" s="1"/>
  <c r="I335" i="2"/>
  <c r="J335" i="2" s="1"/>
  <c r="I336" i="2"/>
  <c r="J336" i="2" s="1"/>
  <c r="I337" i="2"/>
  <c r="J337" i="2" s="1"/>
  <c r="I338" i="2"/>
  <c r="J338" i="2" s="1"/>
  <c r="I339" i="2"/>
  <c r="J339" i="2" s="1"/>
  <c r="I340" i="2"/>
  <c r="J340" i="2" s="1"/>
  <c r="I341" i="2"/>
  <c r="J341" i="2" s="1"/>
  <c r="I342" i="2"/>
  <c r="J342" i="2" s="1"/>
  <c r="I343" i="2"/>
  <c r="J343" i="2" s="1"/>
  <c r="I344" i="2"/>
  <c r="J344" i="2" s="1"/>
  <c r="I345" i="2"/>
  <c r="J345" i="2" s="1"/>
  <c r="I346" i="2"/>
  <c r="J346" i="2" s="1"/>
  <c r="I347" i="2"/>
  <c r="J347" i="2" s="1"/>
  <c r="I348" i="2"/>
  <c r="J348" i="2" s="1"/>
  <c r="I349" i="2"/>
  <c r="J349" i="2" s="1"/>
  <c r="I350" i="2"/>
  <c r="J350" i="2" s="1"/>
  <c r="I351" i="2"/>
  <c r="I352" i="2"/>
  <c r="J352" i="2" s="1"/>
  <c r="I353" i="2"/>
  <c r="J353" i="2" s="1"/>
  <c r="I354" i="2"/>
  <c r="J354" i="2" s="1"/>
  <c r="I355" i="2"/>
  <c r="J355" i="2" s="1"/>
  <c r="I356" i="2"/>
  <c r="J356" i="2" s="1"/>
  <c r="I357" i="2"/>
  <c r="J357" i="2" s="1"/>
  <c r="I358" i="2"/>
  <c r="J358" i="2" s="1"/>
  <c r="I359" i="2"/>
  <c r="J359" i="2" s="1"/>
  <c r="I360" i="2"/>
  <c r="J360" i="2" s="1"/>
  <c r="I361" i="2"/>
  <c r="J361" i="2" s="1"/>
  <c r="I362" i="2"/>
  <c r="J362" i="2" s="1"/>
  <c r="I363" i="2"/>
  <c r="J363" i="2" s="1"/>
  <c r="I364" i="2"/>
  <c r="J364" i="2" s="1"/>
  <c r="I365" i="2"/>
  <c r="J365" i="2" s="1"/>
  <c r="I366" i="2"/>
  <c r="J366" i="2" s="1"/>
  <c r="I367" i="2"/>
  <c r="J367" i="2" s="1"/>
  <c r="I368" i="2"/>
  <c r="J368" i="2" s="1"/>
  <c r="I369" i="2"/>
  <c r="J369" i="2" s="1"/>
  <c r="I370" i="2"/>
  <c r="J370" i="2" s="1"/>
  <c r="I371" i="2"/>
  <c r="J371" i="2" s="1"/>
  <c r="I372" i="2"/>
  <c r="J372" i="2" s="1"/>
  <c r="I373" i="2"/>
  <c r="J373" i="2" s="1"/>
  <c r="I374" i="2"/>
  <c r="J374" i="2" s="1"/>
  <c r="I375" i="2"/>
  <c r="J375" i="2" s="1"/>
  <c r="I376" i="2"/>
  <c r="J376" i="2" s="1"/>
  <c r="I377" i="2"/>
  <c r="J377" i="2" s="1"/>
  <c r="I378" i="2"/>
  <c r="J378" i="2" s="1"/>
  <c r="I379" i="2"/>
  <c r="J379" i="2" s="1"/>
  <c r="I380" i="2"/>
  <c r="J380" i="2" s="1"/>
  <c r="I381" i="2"/>
  <c r="J381" i="2" s="1"/>
  <c r="I382" i="2"/>
  <c r="J382" i="2" s="1"/>
  <c r="I383" i="2"/>
  <c r="J383" i="2" s="1"/>
  <c r="I384" i="2"/>
  <c r="J384" i="2" s="1"/>
  <c r="I385" i="2"/>
  <c r="J385" i="2" s="1"/>
  <c r="I386" i="2"/>
  <c r="J386" i="2" s="1"/>
  <c r="I387" i="2"/>
  <c r="J387" i="2" s="1"/>
  <c r="I388" i="2"/>
  <c r="J388" i="2" s="1"/>
  <c r="I389" i="2"/>
  <c r="J389" i="2" s="1"/>
  <c r="I390" i="2"/>
  <c r="J390" i="2" s="1"/>
  <c r="I391" i="2"/>
  <c r="J391" i="2" s="1"/>
  <c r="I392" i="2"/>
  <c r="J392" i="2" s="1"/>
  <c r="I393" i="2"/>
  <c r="J393" i="2" s="1"/>
  <c r="I394" i="2"/>
  <c r="J394" i="2" s="1"/>
  <c r="I395" i="2"/>
  <c r="J395" i="2" s="1"/>
  <c r="I396" i="2"/>
  <c r="J396" i="2" s="1"/>
  <c r="I397" i="2"/>
  <c r="J397" i="2" s="1"/>
  <c r="I398" i="2"/>
  <c r="J398" i="2" s="1"/>
  <c r="I399" i="2"/>
  <c r="J399" i="2" s="1"/>
  <c r="I400" i="2"/>
  <c r="J400" i="2" s="1"/>
  <c r="I401" i="2"/>
  <c r="J401" i="2" s="1"/>
  <c r="I402" i="2"/>
  <c r="J402" i="2" s="1"/>
  <c r="I403" i="2"/>
  <c r="J403" i="2" s="1"/>
  <c r="I404" i="2"/>
  <c r="J404" i="2" s="1"/>
  <c r="I405" i="2"/>
  <c r="J405" i="2" s="1"/>
  <c r="I406" i="2"/>
  <c r="J406" i="2" s="1"/>
  <c r="I407" i="2"/>
  <c r="J407" i="2" s="1"/>
  <c r="I408" i="2"/>
  <c r="J408" i="2" s="1"/>
  <c r="I409" i="2"/>
  <c r="J409" i="2" s="1"/>
  <c r="I410" i="2"/>
  <c r="J410" i="2" s="1"/>
  <c r="I411" i="2"/>
  <c r="J411" i="2" s="1"/>
  <c r="I412" i="2"/>
  <c r="I413" i="2"/>
  <c r="J413" i="2" s="1"/>
  <c r="I414" i="2"/>
  <c r="J414" i="2" s="1"/>
  <c r="I415" i="2"/>
  <c r="J415" i="2" s="1"/>
  <c r="I416" i="2"/>
  <c r="J416" i="2" s="1"/>
  <c r="I417" i="2"/>
  <c r="J417" i="2" s="1"/>
  <c r="I418" i="2"/>
  <c r="J418" i="2" s="1"/>
  <c r="I419" i="2"/>
  <c r="J419" i="2" s="1"/>
  <c r="I420" i="2"/>
  <c r="J420" i="2" s="1"/>
  <c r="I421" i="2"/>
  <c r="J421" i="2" s="1"/>
  <c r="I422" i="2"/>
  <c r="J422" i="2" s="1"/>
  <c r="I423" i="2"/>
  <c r="J423" i="2" s="1"/>
  <c r="I424" i="2"/>
  <c r="J424" i="2" s="1"/>
  <c r="I425" i="2"/>
  <c r="J425" i="2" s="1"/>
  <c r="I426" i="2"/>
  <c r="J426" i="2" s="1"/>
  <c r="I427" i="2"/>
  <c r="J427" i="2" s="1"/>
  <c r="I428" i="2"/>
  <c r="J428" i="2" s="1"/>
  <c r="I429" i="2"/>
  <c r="J429" i="2" s="1"/>
  <c r="I430" i="2"/>
  <c r="J430" i="2" s="1"/>
  <c r="I431" i="2"/>
  <c r="J431" i="2" s="1"/>
  <c r="I432" i="2"/>
  <c r="J432" i="2" s="1"/>
  <c r="I433" i="2"/>
  <c r="J433" i="2" s="1"/>
  <c r="I434" i="2"/>
  <c r="J434" i="2" s="1"/>
  <c r="I435" i="2"/>
  <c r="I436" i="2"/>
  <c r="J436" i="2" s="1"/>
  <c r="I437" i="2"/>
  <c r="J437" i="2" s="1"/>
  <c r="I438" i="2"/>
  <c r="J438" i="2" s="1"/>
  <c r="I439" i="2"/>
  <c r="J439" i="2" s="1"/>
  <c r="I440" i="2"/>
  <c r="J440" i="2" s="1"/>
  <c r="I441" i="2"/>
  <c r="J441" i="2" s="1"/>
  <c r="I442" i="2"/>
  <c r="J442" i="2" s="1"/>
  <c r="I443" i="2"/>
  <c r="J443" i="2" s="1"/>
  <c r="I444" i="2"/>
  <c r="J444" i="2" s="1"/>
  <c r="I445" i="2"/>
  <c r="J445" i="2" s="1"/>
  <c r="I446" i="2"/>
  <c r="J446" i="2" s="1"/>
  <c r="I447" i="2"/>
  <c r="I448" i="2"/>
  <c r="J448" i="2" s="1"/>
  <c r="I449" i="2"/>
  <c r="J449" i="2" s="1"/>
  <c r="I450" i="2"/>
  <c r="J450" i="2" s="1"/>
  <c r="I451" i="2"/>
  <c r="J451" i="2" s="1"/>
  <c r="I452" i="2"/>
  <c r="J452" i="2" s="1"/>
  <c r="I453" i="2"/>
  <c r="J453" i="2" s="1"/>
  <c r="I454" i="2"/>
  <c r="J454" i="2" s="1"/>
  <c r="I455" i="2"/>
  <c r="J455" i="2" s="1"/>
  <c r="I456" i="2"/>
  <c r="J456" i="2" s="1"/>
  <c r="I457" i="2"/>
  <c r="J457" i="2" s="1"/>
  <c r="I458" i="2"/>
  <c r="J458" i="2" s="1"/>
  <c r="I459" i="2"/>
  <c r="J459" i="2" s="1"/>
  <c r="I460" i="2"/>
  <c r="J460" i="2" s="1"/>
  <c r="I461" i="2"/>
  <c r="J461" i="2" s="1"/>
  <c r="I462" i="2"/>
  <c r="J462" i="2" s="1"/>
  <c r="I463" i="2"/>
  <c r="J463" i="2" s="1"/>
  <c r="I464" i="2"/>
  <c r="J464" i="2" s="1"/>
  <c r="I465" i="2"/>
  <c r="J465" i="2" s="1"/>
  <c r="I466" i="2"/>
  <c r="J466" i="2" s="1"/>
  <c r="I467" i="2"/>
  <c r="J467" i="2" s="1"/>
  <c r="I468" i="2"/>
  <c r="J468" i="2" s="1"/>
  <c r="I469" i="2"/>
  <c r="J469" i="2" s="1"/>
  <c r="I470" i="2"/>
  <c r="J470" i="2" s="1"/>
  <c r="I471" i="2"/>
  <c r="I472" i="2"/>
  <c r="J472" i="2" s="1"/>
  <c r="I473" i="2"/>
  <c r="J473" i="2" s="1"/>
  <c r="I474" i="2"/>
  <c r="J474" i="2" s="1"/>
  <c r="I475" i="2"/>
  <c r="J475" i="2" s="1"/>
  <c r="I476" i="2"/>
  <c r="J476" i="2" s="1"/>
  <c r="I477" i="2"/>
  <c r="J477" i="2" s="1"/>
  <c r="I478" i="2"/>
  <c r="J478" i="2" s="1"/>
  <c r="I479" i="2"/>
  <c r="J479" i="2" s="1"/>
  <c r="I480" i="2"/>
  <c r="J480" i="2" s="1"/>
  <c r="I481" i="2"/>
  <c r="J481" i="2" s="1"/>
  <c r="I482" i="2"/>
  <c r="J482" i="2" s="1"/>
  <c r="I483" i="2"/>
  <c r="I484" i="2"/>
  <c r="J484" i="2" s="1"/>
  <c r="I485" i="2"/>
  <c r="I486" i="2"/>
  <c r="J486" i="2" s="1"/>
  <c r="I487" i="2"/>
  <c r="J487" i="2" s="1"/>
  <c r="I488" i="2"/>
  <c r="J488" i="2" s="1"/>
  <c r="I489" i="2"/>
  <c r="J489" i="2" s="1"/>
  <c r="I490" i="2"/>
  <c r="J490" i="2" s="1"/>
  <c r="I491" i="2"/>
  <c r="J491" i="2" s="1"/>
  <c r="I492" i="2"/>
  <c r="J492" i="2" s="1"/>
  <c r="I493" i="2"/>
  <c r="J493" i="2" s="1"/>
  <c r="I494" i="2"/>
  <c r="J494" i="2" s="1"/>
  <c r="I495" i="2"/>
  <c r="I496" i="2"/>
  <c r="J496" i="2" s="1"/>
  <c r="I497" i="2"/>
  <c r="J497" i="2" s="1"/>
  <c r="I498" i="2"/>
  <c r="J498" i="2" s="1"/>
  <c r="I499" i="2"/>
  <c r="J499" i="2" s="1"/>
  <c r="I500" i="2"/>
  <c r="J500" i="2" s="1"/>
  <c r="I501" i="2"/>
  <c r="J501" i="2" s="1"/>
  <c r="I502" i="2"/>
  <c r="J502" i="2" s="1"/>
  <c r="I503" i="2"/>
  <c r="J503" i="2" s="1"/>
  <c r="I504" i="2"/>
  <c r="J504" i="2" s="1"/>
  <c r="I505" i="2"/>
  <c r="J505" i="2" s="1"/>
  <c r="I506" i="2"/>
  <c r="J506" i="2" s="1"/>
  <c r="I507" i="2"/>
  <c r="J507" i="2" s="1"/>
  <c r="I508" i="2"/>
  <c r="J508" i="2" s="1"/>
  <c r="I509" i="2"/>
  <c r="J509" i="2" s="1"/>
  <c r="I510" i="2"/>
  <c r="J510" i="2" s="1"/>
  <c r="I511" i="2"/>
  <c r="J511" i="2" s="1"/>
  <c r="I512" i="2"/>
  <c r="J512" i="2" s="1"/>
  <c r="I513" i="2"/>
  <c r="J513" i="2" s="1"/>
  <c r="I514" i="2"/>
  <c r="J514" i="2" s="1"/>
  <c r="I515" i="2"/>
  <c r="J515" i="2" s="1"/>
  <c r="I516" i="2"/>
  <c r="J516" i="2" s="1"/>
  <c r="I517" i="2"/>
  <c r="J517" i="2" s="1"/>
  <c r="I518" i="2"/>
  <c r="J518" i="2" s="1"/>
  <c r="I519" i="2"/>
  <c r="J519" i="2" s="1"/>
  <c r="I520" i="2"/>
  <c r="J520" i="2" s="1"/>
  <c r="I521" i="2"/>
  <c r="J521" i="2" s="1"/>
  <c r="I522" i="2"/>
  <c r="J522" i="2" s="1"/>
  <c r="I523" i="2"/>
  <c r="J523" i="2" s="1"/>
  <c r="I524" i="2"/>
  <c r="J524" i="2" s="1"/>
  <c r="I525" i="2"/>
  <c r="J525" i="2" s="1"/>
  <c r="I526" i="2"/>
  <c r="J526" i="2" s="1"/>
  <c r="I527" i="2"/>
  <c r="J527" i="2" s="1"/>
  <c r="I528" i="2"/>
  <c r="J528" i="2" s="1"/>
  <c r="I529" i="2"/>
  <c r="J529" i="2" s="1"/>
  <c r="I530" i="2"/>
  <c r="J530" i="2" s="1"/>
  <c r="I531" i="2"/>
  <c r="I532" i="2"/>
  <c r="J532" i="2" s="1"/>
  <c r="I533" i="2"/>
  <c r="J533" i="2" s="1"/>
  <c r="I534" i="2"/>
  <c r="J534" i="2" s="1"/>
  <c r="I535" i="2"/>
  <c r="J535" i="2" s="1"/>
  <c r="I536" i="2"/>
  <c r="J536" i="2" s="1"/>
  <c r="I537" i="2"/>
  <c r="J537" i="2" s="1"/>
  <c r="I538" i="2"/>
  <c r="J538" i="2" s="1"/>
  <c r="I539" i="2"/>
  <c r="J539" i="2" s="1"/>
  <c r="I540" i="2"/>
  <c r="J540" i="2" s="1"/>
  <c r="I541" i="2"/>
  <c r="J541" i="2" s="1"/>
  <c r="I542" i="2"/>
  <c r="J542" i="2" s="1"/>
  <c r="I543" i="2"/>
  <c r="J543" i="2" s="1"/>
  <c r="I544" i="2"/>
  <c r="J544" i="2" s="1"/>
  <c r="I545" i="2"/>
  <c r="J545" i="2" s="1"/>
  <c r="I546" i="2"/>
  <c r="J546" i="2" s="1"/>
  <c r="I547" i="2"/>
  <c r="J547" i="2" s="1"/>
  <c r="I548" i="2"/>
  <c r="J548" i="2" s="1"/>
  <c r="I549" i="2"/>
  <c r="J549" i="2" s="1"/>
  <c r="I550" i="2"/>
  <c r="J550" i="2" s="1"/>
  <c r="I551" i="2"/>
  <c r="J551" i="2" s="1"/>
  <c r="I552" i="2"/>
  <c r="J552" i="2" s="1"/>
  <c r="I553" i="2"/>
  <c r="J553" i="2" s="1"/>
  <c r="I554" i="2"/>
  <c r="J554" i="2" s="1"/>
  <c r="I555" i="2"/>
  <c r="J555" i="2" s="1"/>
  <c r="I556" i="2"/>
  <c r="J556" i="2" s="1"/>
  <c r="I557" i="2"/>
  <c r="J557" i="2" s="1"/>
  <c r="I558" i="2"/>
  <c r="J558" i="2" s="1"/>
  <c r="I559" i="2"/>
  <c r="J559" i="2" s="1"/>
  <c r="I560" i="2"/>
  <c r="J560" i="2" s="1"/>
  <c r="I561" i="2"/>
  <c r="J561" i="2" s="1"/>
  <c r="I562" i="2"/>
  <c r="J562" i="2" s="1"/>
  <c r="I563" i="2"/>
  <c r="J563" i="2" s="1"/>
  <c r="I564" i="2"/>
  <c r="J564" i="2" s="1"/>
  <c r="I565" i="2"/>
  <c r="J565" i="2" s="1"/>
  <c r="I566" i="2"/>
  <c r="J566" i="2" s="1"/>
  <c r="I567" i="2"/>
  <c r="J567" i="2" s="1"/>
  <c r="I568" i="2"/>
  <c r="J568" i="2" s="1"/>
  <c r="I569" i="2"/>
  <c r="J569" i="2" s="1"/>
  <c r="I570" i="2"/>
  <c r="J570" i="2" s="1"/>
  <c r="I571" i="2"/>
  <c r="J571" i="2" s="1"/>
  <c r="I572" i="2"/>
  <c r="J572" i="2" s="1"/>
  <c r="I573" i="2"/>
  <c r="J573" i="2" s="1"/>
  <c r="I574" i="2"/>
  <c r="J574" i="2" s="1"/>
  <c r="I575" i="2"/>
  <c r="J575" i="2" s="1"/>
  <c r="I576" i="2"/>
  <c r="J576" i="2" s="1"/>
  <c r="I577" i="2"/>
  <c r="J577" i="2" s="1"/>
  <c r="I578" i="2"/>
  <c r="J578" i="2" s="1"/>
  <c r="I579" i="2"/>
  <c r="J579" i="2" s="1"/>
  <c r="I580" i="2"/>
  <c r="J580" i="2" s="1"/>
  <c r="I581" i="2"/>
  <c r="J581" i="2" s="1"/>
  <c r="I582" i="2"/>
  <c r="J582" i="2" s="1"/>
  <c r="I583" i="2"/>
  <c r="J583" i="2" s="1"/>
  <c r="I584" i="2"/>
  <c r="J584" i="2" s="1"/>
  <c r="I585" i="2"/>
  <c r="J585" i="2" s="1"/>
  <c r="I586" i="2"/>
  <c r="J586" i="2" s="1"/>
  <c r="I587" i="2"/>
  <c r="J587" i="2" s="1"/>
  <c r="I588" i="2"/>
  <c r="J588" i="2" s="1"/>
  <c r="I589" i="2"/>
  <c r="J589" i="2" s="1"/>
  <c r="I590" i="2"/>
  <c r="J590" i="2" s="1"/>
  <c r="I591" i="2"/>
  <c r="J591" i="2" s="1"/>
  <c r="I592" i="2"/>
  <c r="J592" i="2" s="1"/>
  <c r="I593" i="2"/>
  <c r="J593" i="2" s="1"/>
  <c r="I594" i="2"/>
  <c r="I595" i="2"/>
  <c r="J595" i="2" s="1"/>
  <c r="I596" i="2"/>
  <c r="J596" i="2" s="1"/>
  <c r="I597" i="2"/>
  <c r="J597" i="2" s="1"/>
  <c r="I598" i="2"/>
  <c r="J598" i="2" s="1"/>
  <c r="I599" i="2"/>
  <c r="J599" i="2" s="1"/>
  <c r="I600" i="2"/>
  <c r="J600" i="2" s="1"/>
  <c r="I601" i="2"/>
  <c r="J601" i="2" s="1"/>
  <c r="I602" i="2"/>
  <c r="J602" i="2" s="1"/>
  <c r="I603" i="2"/>
  <c r="J603" i="2" s="1"/>
  <c r="I604" i="2"/>
  <c r="J604" i="2" s="1"/>
  <c r="I605" i="2"/>
  <c r="I606" i="2"/>
  <c r="J606" i="2" s="1"/>
  <c r="I607" i="2"/>
  <c r="J607" i="2" s="1"/>
  <c r="I608" i="2"/>
  <c r="J608" i="2" s="1"/>
  <c r="I609" i="2"/>
  <c r="J609" i="2" s="1"/>
  <c r="I610" i="2"/>
  <c r="J610" i="2" s="1"/>
  <c r="I611" i="2"/>
  <c r="J611" i="2" s="1"/>
  <c r="I612" i="2"/>
  <c r="J612" i="2" s="1"/>
  <c r="I613" i="2"/>
  <c r="J613" i="2" s="1"/>
  <c r="I614" i="2"/>
  <c r="J614" i="2" s="1"/>
  <c r="I615" i="2"/>
  <c r="I616" i="2"/>
  <c r="J616" i="2" s="1"/>
  <c r="I617" i="2"/>
  <c r="J617" i="2" s="1"/>
  <c r="I618" i="2"/>
  <c r="J618" i="2" s="1"/>
  <c r="I619" i="2"/>
  <c r="J619" i="2" s="1"/>
  <c r="I620" i="2"/>
  <c r="J620" i="2" s="1"/>
  <c r="I621" i="2"/>
  <c r="J621" i="2" s="1"/>
  <c r="I622" i="2"/>
  <c r="J622" i="2" s="1"/>
  <c r="I623" i="2"/>
  <c r="J623" i="2" s="1"/>
  <c r="I624" i="2"/>
  <c r="J624" i="2" s="1"/>
  <c r="I625" i="2"/>
  <c r="J625" i="2" s="1"/>
  <c r="I626" i="2"/>
  <c r="J626" i="2" s="1"/>
  <c r="I627" i="2"/>
  <c r="J627" i="2" s="1"/>
  <c r="I628" i="2"/>
  <c r="J628" i="2" s="1"/>
  <c r="I629" i="2"/>
  <c r="J629" i="2" s="1"/>
  <c r="I630" i="2"/>
  <c r="J630" i="2" s="1"/>
  <c r="I631" i="2"/>
  <c r="J631" i="2" s="1"/>
  <c r="I632" i="2"/>
  <c r="J632" i="2" s="1"/>
  <c r="I633" i="2"/>
  <c r="J633" i="2" s="1"/>
  <c r="I634" i="2"/>
  <c r="J634" i="2" s="1"/>
  <c r="I635" i="2"/>
  <c r="J635" i="2" s="1"/>
  <c r="I636" i="2"/>
  <c r="J636" i="2" s="1"/>
  <c r="I637" i="2"/>
  <c r="J637" i="2" s="1"/>
  <c r="I638" i="2"/>
  <c r="J638" i="2" s="1"/>
  <c r="I639" i="2"/>
  <c r="I640" i="2"/>
  <c r="J640" i="2" s="1"/>
  <c r="I641" i="2"/>
  <c r="J641" i="2" s="1"/>
  <c r="I642" i="2"/>
  <c r="J642" i="2" s="1"/>
  <c r="I643" i="2"/>
  <c r="J643" i="2" s="1"/>
  <c r="I644" i="2"/>
  <c r="J644" i="2" s="1"/>
  <c r="I645" i="2"/>
  <c r="J645" i="2" s="1"/>
  <c r="I646" i="2"/>
  <c r="J646" i="2" s="1"/>
  <c r="I647" i="2"/>
  <c r="J647" i="2" s="1"/>
  <c r="I648" i="2"/>
  <c r="J648" i="2" s="1"/>
  <c r="I649" i="2"/>
  <c r="J649" i="2" s="1"/>
  <c r="I650" i="2"/>
  <c r="J650" i="2" s="1"/>
  <c r="I651" i="2"/>
  <c r="I652" i="2"/>
  <c r="J652" i="2" s="1"/>
  <c r="I653" i="2"/>
  <c r="J653" i="2" s="1"/>
  <c r="I654" i="2"/>
  <c r="J654" i="2" s="1"/>
  <c r="I655" i="2"/>
  <c r="J655" i="2" s="1"/>
  <c r="I656" i="2"/>
  <c r="J656" i="2" s="1"/>
  <c r="I657" i="2"/>
  <c r="J657" i="2" s="1"/>
  <c r="I658" i="2"/>
  <c r="J658" i="2" s="1"/>
  <c r="I659" i="2"/>
  <c r="J659" i="2" s="1"/>
  <c r="I660" i="2"/>
  <c r="J660" i="2" s="1"/>
  <c r="I661" i="2"/>
  <c r="J661" i="2" s="1"/>
  <c r="I662" i="2"/>
  <c r="J662" i="2" s="1"/>
  <c r="I663" i="2"/>
  <c r="J663" i="2" s="1"/>
  <c r="I664" i="2"/>
  <c r="J664" i="2" s="1"/>
  <c r="I665" i="2"/>
  <c r="J665" i="2" s="1"/>
  <c r="I666" i="2"/>
  <c r="J666" i="2" s="1"/>
  <c r="I667" i="2"/>
  <c r="J667" i="2" s="1"/>
  <c r="I668" i="2"/>
  <c r="J668" i="2" s="1"/>
  <c r="I669" i="2"/>
  <c r="J669" i="2" s="1"/>
  <c r="I670" i="2"/>
  <c r="J670" i="2" s="1"/>
  <c r="I671" i="2"/>
  <c r="J671" i="2" s="1"/>
  <c r="I672" i="2"/>
  <c r="J672" i="2" s="1"/>
  <c r="I673" i="2"/>
  <c r="J673" i="2" s="1"/>
  <c r="I674" i="2"/>
  <c r="J674" i="2" s="1"/>
  <c r="I675" i="2"/>
  <c r="I676" i="2"/>
  <c r="J676" i="2" s="1"/>
  <c r="I677" i="2"/>
  <c r="J677" i="2" s="1"/>
  <c r="I678" i="2"/>
  <c r="J678" i="2" s="1"/>
  <c r="I679" i="2"/>
  <c r="J679" i="2" s="1"/>
  <c r="I680" i="2"/>
  <c r="J680" i="2" s="1"/>
  <c r="I681" i="2"/>
  <c r="J681" i="2" s="1"/>
  <c r="I682" i="2"/>
  <c r="J682" i="2" s="1"/>
  <c r="I683" i="2"/>
  <c r="J683" i="2" s="1"/>
  <c r="I684" i="2"/>
  <c r="J684" i="2" s="1"/>
  <c r="I685" i="2"/>
  <c r="J685" i="2" s="1"/>
  <c r="I686" i="2"/>
  <c r="J686" i="2" s="1"/>
  <c r="I687" i="2"/>
  <c r="J687" i="2" s="1"/>
  <c r="I688" i="2"/>
  <c r="J688" i="2" s="1"/>
  <c r="I689" i="2"/>
  <c r="J689" i="2" s="1"/>
  <c r="I690" i="2"/>
  <c r="J690" i="2" s="1"/>
  <c r="I691" i="2"/>
  <c r="J691" i="2" s="1"/>
  <c r="I692" i="2"/>
  <c r="J692" i="2" s="1"/>
  <c r="I693" i="2"/>
  <c r="J693" i="2" s="1"/>
  <c r="I694" i="2"/>
  <c r="J694" i="2" s="1"/>
  <c r="I695" i="2"/>
  <c r="J695" i="2" s="1"/>
  <c r="I696" i="2"/>
  <c r="J696" i="2" s="1"/>
  <c r="I697" i="2"/>
  <c r="J697" i="2" s="1"/>
  <c r="I698" i="2"/>
  <c r="J698" i="2" s="1"/>
  <c r="I699" i="2"/>
  <c r="J699" i="2" s="1"/>
  <c r="I700" i="2"/>
  <c r="J700" i="2" s="1"/>
  <c r="I701" i="2"/>
  <c r="J701" i="2" s="1"/>
  <c r="I702" i="2"/>
  <c r="J702" i="2" s="1"/>
  <c r="I703" i="2"/>
  <c r="J703" i="2" s="1"/>
  <c r="I704" i="2"/>
  <c r="J704" i="2" s="1"/>
  <c r="I705" i="2"/>
  <c r="J705" i="2" s="1"/>
  <c r="I706" i="2"/>
  <c r="J706" i="2" s="1"/>
  <c r="I707" i="2"/>
  <c r="J707" i="2" s="1"/>
  <c r="I708" i="2"/>
  <c r="J708" i="2" s="1"/>
  <c r="I709" i="2"/>
  <c r="J709" i="2" s="1"/>
  <c r="I710" i="2"/>
  <c r="J710" i="2" s="1"/>
  <c r="I711" i="2"/>
  <c r="I712" i="2"/>
  <c r="J712" i="2" s="1"/>
  <c r="I713" i="2"/>
  <c r="J713" i="2" s="1"/>
  <c r="I714" i="2"/>
  <c r="J714" i="2" s="1"/>
  <c r="I715" i="2"/>
  <c r="J715" i="2" s="1"/>
  <c r="I716" i="2"/>
  <c r="J716" i="2" s="1"/>
  <c r="I717" i="2"/>
  <c r="J717" i="2" s="1"/>
  <c r="I718" i="2"/>
  <c r="J718" i="2" s="1"/>
  <c r="I719" i="2"/>
  <c r="J719" i="2" s="1"/>
  <c r="I720" i="2"/>
  <c r="J720" i="2" s="1"/>
  <c r="I721" i="2"/>
  <c r="J721" i="2" s="1"/>
  <c r="I722" i="2"/>
  <c r="J722" i="2" s="1"/>
  <c r="I723" i="2"/>
  <c r="J723" i="2" s="1"/>
  <c r="I724" i="2"/>
  <c r="J724" i="2" s="1"/>
  <c r="I725" i="2"/>
  <c r="J725" i="2" s="1"/>
  <c r="I726" i="2"/>
  <c r="J726" i="2" s="1"/>
  <c r="I727" i="2"/>
  <c r="J727" i="2" s="1"/>
  <c r="I728" i="2"/>
  <c r="J728" i="2" s="1"/>
  <c r="I729" i="2"/>
  <c r="J729" i="2" s="1"/>
  <c r="I730" i="2"/>
  <c r="J730" i="2" s="1"/>
  <c r="I731" i="2"/>
  <c r="J731" i="2" s="1"/>
  <c r="I732" i="2"/>
  <c r="J732" i="2" s="1"/>
  <c r="I733" i="2"/>
  <c r="J733" i="2" s="1"/>
  <c r="I734" i="2"/>
  <c r="J734" i="2" s="1"/>
  <c r="I735" i="2"/>
  <c r="I736" i="2"/>
  <c r="J736" i="2" s="1"/>
  <c r="I737" i="2"/>
  <c r="J737" i="2" s="1"/>
  <c r="I738" i="2"/>
  <c r="J738" i="2" s="1"/>
  <c r="I739" i="2"/>
  <c r="J739" i="2" s="1"/>
  <c r="I740" i="2"/>
  <c r="J740" i="2" s="1"/>
  <c r="I741" i="2"/>
  <c r="J741" i="2" s="1"/>
  <c r="I742" i="2"/>
  <c r="J742" i="2" s="1"/>
  <c r="I743" i="2"/>
  <c r="J743" i="2" s="1"/>
  <c r="I744" i="2"/>
  <c r="J744" i="2" s="1"/>
  <c r="I745" i="2"/>
  <c r="J745" i="2" s="1"/>
  <c r="I746" i="2"/>
  <c r="J746" i="2" s="1"/>
  <c r="I747" i="2"/>
  <c r="J747" i="2" s="1"/>
  <c r="I748" i="2"/>
  <c r="J748" i="2" s="1"/>
  <c r="I749" i="2"/>
  <c r="J749" i="2" s="1"/>
  <c r="I750" i="2"/>
  <c r="J750" i="2" s="1"/>
  <c r="I751" i="2"/>
  <c r="J751" i="2" s="1"/>
  <c r="I752" i="2"/>
  <c r="J752" i="2" s="1"/>
  <c r="I753" i="2"/>
  <c r="J753" i="2" s="1"/>
  <c r="I754" i="2"/>
  <c r="J754" i="2" s="1"/>
  <c r="I755" i="2"/>
  <c r="J755" i="2" s="1"/>
  <c r="I756" i="2"/>
  <c r="J756" i="2" s="1"/>
  <c r="I757" i="2"/>
  <c r="J757" i="2" s="1"/>
  <c r="I758" i="2"/>
  <c r="J758" i="2" s="1"/>
  <c r="I759" i="2"/>
  <c r="J759" i="2" s="1"/>
  <c r="I760" i="2"/>
  <c r="J760" i="2" s="1"/>
  <c r="I761" i="2"/>
  <c r="J761" i="2" s="1"/>
  <c r="I762" i="2"/>
  <c r="J762" i="2" s="1"/>
  <c r="I763" i="2"/>
  <c r="J763" i="2" s="1"/>
  <c r="I764" i="2"/>
  <c r="J764" i="2" s="1"/>
  <c r="I765" i="2"/>
  <c r="J765" i="2" s="1"/>
  <c r="I766" i="2"/>
  <c r="J766" i="2" s="1"/>
  <c r="I767" i="2"/>
  <c r="J767" i="2" s="1"/>
  <c r="I768" i="2"/>
  <c r="J768" i="2" s="1"/>
  <c r="I769" i="2"/>
  <c r="J769" i="2" s="1"/>
  <c r="I770" i="2"/>
  <c r="J770" i="2" s="1"/>
  <c r="I771" i="2"/>
  <c r="I772" i="2"/>
  <c r="J772" i="2" s="1"/>
  <c r="I773" i="2"/>
  <c r="J773" i="2" s="1"/>
  <c r="I774" i="2"/>
  <c r="J774" i="2" s="1"/>
  <c r="I775" i="2"/>
  <c r="J775" i="2" s="1"/>
  <c r="I776" i="2"/>
  <c r="J776" i="2" s="1"/>
  <c r="I777" i="2"/>
  <c r="J777" i="2" s="1"/>
  <c r="I778" i="2"/>
  <c r="J778" i="2" s="1"/>
  <c r="I779" i="2"/>
  <c r="J779" i="2" s="1"/>
  <c r="I780" i="2"/>
  <c r="J780" i="2" s="1"/>
  <c r="I781" i="2"/>
  <c r="J781" i="2" s="1"/>
  <c r="I782" i="2"/>
  <c r="J782" i="2" s="1"/>
  <c r="I783" i="2"/>
  <c r="J783" i="2" s="1"/>
  <c r="I784" i="2"/>
  <c r="J784" i="2" s="1"/>
  <c r="I785" i="2"/>
  <c r="J785" i="2" s="1"/>
  <c r="I786" i="2"/>
  <c r="J786" i="2" s="1"/>
  <c r="I787" i="2"/>
  <c r="J787" i="2" s="1"/>
  <c r="I788" i="2"/>
  <c r="J788" i="2" s="1"/>
  <c r="I789" i="2"/>
  <c r="J789" i="2" s="1"/>
  <c r="I790" i="2"/>
  <c r="J790" i="2" s="1"/>
  <c r="I791" i="2"/>
  <c r="J791" i="2" s="1"/>
  <c r="I792" i="2"/>
  <c r="J792" i="2" s="1"/>
  <c r="I793" i="2"/>
  <c r="J793" i="2" s="1"/>
  <c r="I794" i="2"/>
  <c r="J794" i="2" s="1"/>
  <c r="I795" i="2"/>
  <c r="J795" i="2" s="1"/>
  <c r="I796" i="2"/>
  <c r="J796" i="2" s="1"/>
  <c r="I797" i="2"/>
  <c r="J797" i="2" s="1"/>
  <c r="I798" i="2"/>
  <c r="J798" i="2" s="1"/>
  <c r="I799" i="2"/>
  <c r="J799" i="2" s="1"/>
  <c r="I800" i="2"/>
  <c r="J800" i="2" s="1"/>
  <c r="I801" i="2"/>
  <c r="J801" i="2" s="1"/>
  <c r="I802" i="2"/>
  <c r="J802" i="2" s="1"/>
  <c r="I803" i="2"/>
  <c r="J803" i="2" s="1"/>
  <c r="I804" i="2"/>
  <c r="J804" i="2" s="1"/>
  <c r="I805" i="2"/>
  <c r="J805" i="2" s="1"/>
  <c r="I806" i="2"/>
  <c r="J806" i="2" s="1"/>
  <c r="I807" i="2"/>
  <c r="J807" i="2" s="1"/>
  <c r="I808" i="2"/>
  <c r="J808" i="2" s="1"/>
  <c r="I809" i="2"/>
  <c r="J809" i="2" s="1"/>
  <c r="I810" i="2"/>
  <c r="J810" i="2" s="1"/>
  <c r="I811" i="2"/>
  <c r="J811" i="2" s="1"/>
  <c r="I812" i="2"/>
  <c r="J812" i="2" s="1"/>
  <c r="I813" i="2"/>
  <c r="J813" i="2" s="1"/>
  <c r="I814" i="2"/>
  <c r="J814" i="2" s="1"/>
  <c r="I815" i="2"/>
  <c r="J815" i="2" s="1"/>
  <c r="I816" i="2"/>
  <c r="J816" i="2" s="1"/>
  <c r="I817" i="2"/>
  <c r="J817" i="2" s="1"/>
  <c r="I818" i="2"/>
  <c r="J818" i="2" s="1"/>
  <c r="I819" i="2"/>
  <c r="J819" i="2" s="1"/>
  <c r="I820" i="2"/>
  <c r="J820" i="2" s="1"/>
  <c r="I821" i="2"/>
  <c r="J821" i="2" s="1"/>
  <c r="I822" i="2"/>
  <c r="J822" i="2" s="1"/>
  <c r="I823" i="2"/>
  <c r="J823" i="2" s="1"/>
  <c r="I824" i="2"/>
  <c r="J824" i="2" s="1"/>
  <c r="I825" i="2"/>
  <c r="J825" i="2" s="1"/>
  <c r="I826" i="2"/>
  <c r="J826" i="2" s="1"/>
  <c r="I827" i="2"/>
  <c r="J827" i="2" s="1"/>
  <c r="I828" i="2"/>
  <c r="J828" i="2" s="1"/>
  <c r="I829" i="2"/>
  <c r="J829" i="2" s="1"/>
  <c r="I830" i="2"/>
  <c r="J830" i="2" s="1"/>
  <c r="I831" i="2"/>
  <c r="J831" i="2" s="1"/>
  <c r="I832" i="2"/>
  <c r="J832" i="2" s="1"/>
  <c r="I833" i="2"/>
  <c r="J833" i="2" s="1"/>
  <c r="I834" i="2"/>
  <c r="J834" i="2" s="1"/>
  <c r="I835" i="2"/>
  <c r="J835" i="2" s="1"/>
  <c r="I836" i="2"/>
  <c r="J836" i="2" s="1"/>
  <c r="I837" i="2"/>
  <c r="J837" i="2" s="1"/>
  <c r="I838" i="2"/>
  <c r="J838" i="2" s="1"/>
  <c r="I839" i="2"/>
  <c r="J839" i="2" s="1"/>
  <c r="I840" i="2"/>
  <c r="J840" i="2" s="1"/>
  <c r="I841" i="2"/>
  <c r="J841" i="2" s="1"/>
  <c r="I842" i="2"/>
  <c r="J842" i="2" s="1"/>
  <c r="I843" i="2"/>
  <c r="J843" i="2" s="1"/>
  <c r="I844" i="2"/>
  <c r="J844" i="2" s="1"/>
  <c r="I845" i="2"/>
  <c r="J845" i="2" s="1"/>
  <c r="I846" i="2"/>
  <c r="J846" i="2" s="1"/>
  <c r="I847" i="2"/>
  <c r="J847" i="2" s="1"/>
  <c r="I848" i="2"/>
  <c r="J848" i="2" s="1"/>
  <c r="I849" i="2"/>
  <c r="J849" i="2" s="1"/>
  <c r="I850" i="2"/>
  <c r="J850" i="2" s="1"/>
  <c r="I851" i="2"/>
  <c r="J851" i="2" s="1"/>
  <c r="I852" i="2"/>
  <c r="J852" i="2" s="1"/>
  <c r="I853" i="2"/>
  <c r="J853" i="2" s="1"/>
  <c r="I854" i="2"/>
  <c r="J854" i="2" s="1"/>
  <c r="I855" i="2"/>
  <c r="J855" i="2" s="1"/>
  <c r="I856" i="2"/>
  <c r="J856" i="2" s="1"/>
  <c r="I857" i="2"/>
  <c r="J857" i="2" s="1"/>
  <c r="I858" i="2"/>
  <c r="J858" i="2" s="1"/>
  <c r="I859" i="2"/>
  <c r="J859" i="2" s="1"/>
  <c r="I860" i="2"/>
  <c r="J860" i="2" s="1"/>
  <c r="I861" i="2"/>
  <c r="J861" i="2" s="1"/>
  <c r="I862" i="2"/>
  <c r="J862" i="2" s="1"/>
  <c r="I863" i="2"/>
  <c r="J863" i="2" s="1"/>
  <c r="I864" i="2"/>
  <c r="J864" i="2" s="1"/>
  <c r="I865" i="2"/>
  <c r="J865" i="2" s="1"/>
  <c r="I866" i="2"/>
  <c r="J866" i="2" s="1"/>
  <c r="I867" i="2"/>
  <c r="I868" i="2"/>
  <c r="J868" i="2" s="1"/>
  <c r="I869" i="2"/>
  <c r="J869" i="2" s="1"/>
  <c r="I870" i="2"/>
  <c r="J870" i="2" s="1"/>
  <c r="I871" i="2"/>
  <c r="J871" i="2" s="1"/>
  <c r="I872" i="2"/>
  <c r="J872" i="2" s="1"/>
  <c r="I873" i="2"/>
  <c r="J873" i="2" s="1"/>
  <c r="I874" i="2"/>
  <c r="J874" i="2" s="1"/>
  <c r="I875" i="2"/>
  <c r="J875" i="2" s="1"/>
  <c r="I876" i="2"/>
  <c r="J876" i="2" s="1"/>
  <c r="I877" i="2"/>
  <c r="J877" i="2" s="1"/>
  <c r="I878" i="2"/>
  <c r="J878" i="2" s="1"/>
  <c r="I879" i="2"/>
  <c r="J879" i="2" s="1"/>
  <c r="I880" i="2"/>
  <c r="J880" i="2" s="1"/>
  <c r="I881" i="2"/>
  <c r="J881" i="2" s="1"/>
  <c r="I882" i="2"/>
  <c r="J882" i="2" s="1"/>
  <c r="I883" i="2"/>
  <c r="J883" i="2" s="1"/>
  <c r="I884" i="2"/>
  <c r="J884" i="2" s="1"/>
  <c r="I885" i="2"/>
  <c r="J885" i="2" s="1"/>
  <c r="I886" i="2"/>
  <c r="J886" i="2" s="1"/>
  <c r="I887" i="2"/>
  <c r="J887" i="2" s="1"/>
  <c r="I888" i="2"/>
  <c r="J888" i="2" s="1"/>
  <c r="I889" i="2"/>
  <c r="J889" i="2" s="1"/>
  <c r="I890" i="2"/>
  <c r="J890" i="2" s="1"/>
  <c r="I891" i="2"/>
  <c r="J891" i="2" s="1"/>
  <c r="I892" i="2"/>
  <c r="J892" i="2" s="1"/>
  <c r="I893" i="2"/>
  <c r="J893" i="2" s="1"/>
  <c r="I894" i="2"/>
  <c r="J894" i="2" s="1"/>
  <c r="I895" i="2"/>
  <c r="J895" i="2" s="1"/>
  <c r="I896" i="2"/>
  <c r="J896" i="2" s="1"/>
  <c r="I897" i="2"/>
  <c r="J897" i="2" s="1"/>
  <c r="I898" i="2"/>
  <c r="J898" i="2" s="1"/>
  <c r="I899" i="2"/>
  <c r="J899" i="2" s="1"/>
  <c r="I900" i="2"/>
  <c r="J900" i="2" s="1"/>
  <c r="I901" i="2"/>
  <c r="J901" i="2" s="1"/>
  <c r="I902" i="2"/>
  <c r="J902" i="2" s="1"/>
  <c r="I903" i="2"/>
  <c r="I904" i="2"/>
  <c r="J904" i="2" s="1"/>
  <c r="I905" i="2"/>
  <c r="J905" i="2" s="1"/>
  <c r="I906" i="2"/>
  <c r="J906" i="2" s="1"/>
  <c r="I907" i="2"/>
  <c r="J907" i="2" s="1"/>
  <c r="I908" i="2"/>
  <c r="J908" i="2" s="1"/>
  <c r="I909" i="2"/>
  <c r="J909" i="2" s="1"/>
  <c r="I910" i="2"/>
  <c r="J910" i="2" s="1"/>
  <c r="I911" i="2"/>
  <c r="J911" i="2" s="1"/>
  <c r="I912" i="2"/>
  <c r="J912" i="2" s="1"/>
  <c r="I913" i="2"/>
  <c r="J913" i="2" s="1"/>
  <c r="I914" i="2"/>
  <c r="J914" i="2" s="1"/>
  <c r="I915" i="2"/>
  <c r="J915" i="2" s="1"/>
  <c r="I916" i="2"/>
  <c r="J916" i="2" s="1"/>
  <c r="I917" i="2"/>
  <c r="J917" i="2" s="1"/>
  <c r="I918" i="2"/>
  <c r="J918" i="2" s="1"/>
  <c r="I919" i="2"/>
  <c r="J919" i="2" s="1"/>
  <c r="I920" i="2"/>
  <c r="J920" i="2" s="1"/>
  <c r="I921" i="2"/>
  <c r="J921" i="2" s="1"/>
  <c r="I922" i="2"/>
  <c r="J922" i="2" s="1"/>
  <c r="I923" i="2"/>
  <c r="J923" i="2" s="1"/>
  <c r="I924" i="2"/>
  <c r="J924" i="2" s="1"/>
  <c r="I925" i="2"/>
  <c r="J925" i="2" s="1"/>
  <c r="I926" i="2"/>
  <c r="J926" i="2" s="1"/>
  <c r="I927" i="2"/>
  <c r="J927" i="2" s="1"/>
  <c r="I928" i="2"/>
  <c r="J928" i="2" s="1"/>
  <c r="I929" i="2"/>
  <c r="J929" i="2" s="1"/>
  <c r="I930" i="2"/>
  <c r="J930" i="2" s="1"/>
  <c r="I931" i="2"/>
  <c r="J931" i="2" s="1"/>
  <c r="I932" i="2"/>
  <c r="J932" i="2" s="1"/>
  <c r="I933" i="2"/>
  <c r="J933" i="2" s="1"/>
  <c r="I934" i="2"/>
  <c r="J934" i="2" s="1"/>
  <c r="I935" i="2"/>
  <c r="J935" i="2" s="1"/>
  <c r="I936" i="2"/>
  <c r="J936" i="2" s="1"/>
  <c r="I937" i="2"/>
  <c r="J937" i="2" s="1"/>
  <c r="I938" i="2"/>
  <c r="J938" i="2" s="1"/>
  <c r="I939" i="2"/>
  <c r="I940" i="2"/>
  <c r="J940" i="2" s="1"/>
  <c r="I941" i="2"/>
  <c r="J941" i="2" s="1"/>
  <c r="I942" i="2"/>
  <c r="J942" i="2" s="1"/>
  <c r="I943" i="2"/>
  <c r="J943" i="2" s="1"/>
  <c r="I944" i="2"/>
  <c r="J944" i="2" s="1"/>
  <c r="I945" i="2"/>
  <c r="J945" i="2" s="1"/>
  <c r="I946" i="2"/>
  <c r="J946" i="2" s="1"/>
  <c r="I947" i="2"/>
  <c r="J947" i="2" s="1"/>
  <c r="I948" i="2"/>
  <c r="J948" i="2" s="1"/>
  <c r="I949" i="2"/>
  <c r="J949" i="2" s="1"/>
  <c r="I950" i="2"/>
  <c r="J950" i="2" s="1"/>
  <c r="I951" i="2"/>
  <c r="I952" i="2"/>
  <c r="J952" i="2" s="1"/>
  <c r="I953" i="2"/>
  <c r="J953" i="2" s="1"/>
  <c r="I954" i="2"/>
  <c r="J954" i="2" s="1"/>
  <c r="I955" i="2"/>
  <c r="J955" i="2" s="1"/>
  <c r="I956" i="2"/>
  <c r="J956" i="2" s="1"/>
  <c r="I957" i="2"/>
  <c r="J957" i="2" s="1"/>
  <c r="I958" i="2"/>
  <c r="J958" i="2" s="1"/>
  <c r="I959" i="2"/>
  <c r="J959" i="2" s="1"/>
  <c r="I960" i="2"/>
  <c r="J960" i="2" s="1"/>
  <c r="I961" i="2"/>
  <c r="J961" i="2" s="1"/>
  <c r="I962" i="2"/>
  <c r="J962" i="2" s="1"/>
  <c r="I963" i="2"/>
  <c r="J963" i="2" s="1"/>
  <c r="I964" i="2"/>
  <c r="J964" i="2" s="1"/>
  <c r="I965" i="2"/>
  <c r="J965" i="2" s="1"/>
  <c r="I966" i="2"/>
  <c r="J966" i="2" s="1"/>
  <c r="I967" i="2"/>
  <c r="J967" i="2" s="1"/>
  <c r="I968" i="2"/>
  <c r="J968" i="2" s="1"/>
  <c r="I969" i="2"/>
  <c r="J969" i="2" s="1"/>
  <c r="I970" i="2"/>
  <c r="J970" i="2" s="1"/>
  <c r="I971" i="2"/>
  <c r="J971" i="2" s="1"/>
  <c r="I972" i="2"/>
  <c r="J972" i="2" s="1"/>
  <c r="I973" i="2"/>
  <c r="J973" i="2" s="1"/>
  <c r="I974" i="2"/>
  <c r="J974" i="2" s="1"/>
  <c r="I975" i="2"/>
  <c r="J975" i="2" s="1"/>
  <c r="I976" i="2"/>
  <c r="J976" i="2" s="1"/>
  <c r="I977" i="2"/>
  <c r="J977" i="2" s="1"/>
  <c r="I978" i="2"/>
  <c r="J978" i="2" s="1"/>
  <c r="I979" i="2"/>
  <c r="J979" i="2" s="1"/>
  <c r="I980" i="2"/>
  <c r="J980" i="2" s="1"/>
  <c r="I981" i="2"/>
  <c r="J981" i="2" s="1"/>
  <c r="I982" i="2"/>
  <c r="J982" i="2" s="1"/>
  <c r="I983" i="2"/>
  <c r="J983" i="2" s="1"/>
  <c r="I984" i="2"/>
  <c r="J984" i="2" s="1"/>
  <c r="I985" i="2"/>
  <c r="J985" i="2" s="1"/>
  <c r="I986" i="2"/>
  <c r="J986" i="2" s="1"/>
  <c r="I987" i="2"/>
  <c r="I988" i="2"/>
  <c r="J988" i="2" s="1"/>
  <c r="I989" i="2"/>
  <c r="J989" i="2" s="1"/>
  <c r="I990" i="2"/>
  <c r="J990" i="2" s="1"/>
  <c r="I991" i="2"/>
  <c r="J991" i="2" s="1"/>
  <c r="I992" i="2"/>
  <c r="J992" i="2" s="1"/>
  <c r="I993" i="2"/>
  <c r="J993" i="2" s="1"/>
  <c r="I994" i="2"/>
  <c r="J994" i="2" s="1"/>
  <c r="I995" i="2"/>
  <c r="J995" i="2" s="1"/>
  <c r="I996" i="2"/>
  <c r="J996" i="2" s="1"/>
  <c r="I997" i="2"/>
  <c r="J997" i="2" s="1"/>
  <c r="I998" i="2"/>
  <c r="J998" i="2" s="1"/>
  <c r="I999" i="2"/>
  <c r="I1000" i="2"/>
  <c r="J1000" i="2" s="1"/>
  <c r="I1001" i="2"/>
  <c r="J1001" i="2" s="1"/>
  <c r="J17" i="2"/>
  <c r="J51" i="2"/>
  <c r="J53" i="2"/>
  <c r="J103" i="2"/>
  <c r="J149" i="2"/>
  <c r="J305" i="2"/>
  <c r="J531" i="2"/>
  <c r="J594" i="2"/>
  <c r="J605" i="2"/>
  <c r="J651" i="2"/>
  <c r="J903" i="2"/>
  <c r="J15" i="2"/>
  <c r="J52" i="2"/>
  <c r="J64" i="2"/>
  <c r="J99" i="2"/>
  <c r="J111" i="2"/>
  <c r="J147" i="2"/>
  <c r="J159" i="2"/>
  <c r="J195" i="2"/>
  <c r="J219" i="2"/>
  <c r="J233" i="2"/>
  <c r="J245" i="2"/>
  <c r="J255" i="2"/>
  <c r="J267" i="2"/>
  <c r="J351" i="2"/>
  <c r="J412" i="2"/>
  <c r="J435" i="2"/>
  <c r="J447" i="2"/>
  <c r="J471" i="2"/>
  <c r="J483" i="2"/>
  <c r="J485" i="2"/>
  <c r="J495" i="2"/>
  <c r="J615" i="2"/>
  <c r="J639" i="2"/>
  <c r="J675" i="2"/>
  <c r="J711" i="2"/>
  <c r="J735" i="2"/>
  <c r="J771" i="2"/>
  <c r="J867" i="2"/>
  <c r="J939" i="2"/>
  <c r="J951" i="2"/>
  <c r="J987" i="2"/>
  <c r="J999" i="2"/>
  <c r="I2" i="2"/>
  <c r="J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767A25-5F84-4384-B5FE-3E3A59763950}" keepAlive="1" name="Query - supermarket_sales new" description="Connection to the 'supermarket_sales new' query in the workbook." type="5" refreshedVersion="8" background="1" saveData="1">
    <dbPr connection="Provider=Microsoft.Mashup.OleDb.1;Data Source=$Workbook$;Location=&quot;supermarket_sales new&quot;;Extended Properties=&quot;&quot;" command="SELECT * FROM [supermarket_sales new]"/>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<sst xmlns="http://schemas.openxmlformats.org/spreadsheetml/2006/main" count="6075" uniqueCount="1042">
  <si>
    <t>Gender</t>
  </si>
  <si>
    <t>Invoice ID</t>
  </si>
  <si>
    <t>Branch</t>
  </si>
  <si>
    <t>City</t>
  </si>
  <si>
    <t>Customer type</t>
  </si>
  <si>
    <t>Product line</t>
  </si>
  <si>
    <t>Unit price</t>
  </si>
  <si>
    <t>Quantity</t>
  </si>
  <si>
    <t>Tax 5%</t>
  </si>
  <si>
    <t>Female</t>
  </si>
  <si>
    <t>750-67-8428</t>
  </si>
  <si>
    <t>A</t>
  </si>
  <si>
    <t>Yangon</t>
  </si>
  <si>
    <t>Member</t>
  </si>
  <si>
    <t>Health and beauty</t>
  </si>
  <si>
    <t>226-31-3081</t>
  </si>
  <si>
    <t>C</t>
  </si>
  <si>
    <t>Naypyitaw</t>
  </si>
  <si>
    <t>Normal</t>
  </si>
  <si>
    <t>Electronic accessories</t>
  </si>
  <si>
    <t>355-53-5943</t>
  </si>
  <si>
    <t>315-22-5665</t>
  </si>
  <si>
    <t>Home and lifestyle</t>
  </si>
  <si>
    <t>665-32-9167</t>
  </si>
  <si>
    <t>692-92-5582</t>
  </si>
  <si>
    <t>B</t>
  </si>
  <si>
    <t>Mandalay</t>
  </si>
  <si>
    <t>Food and beverages</t>
  </si>
  <si>
    <t>351-62-0822</t>
  </si>
  <si>
    <t>Fashion accessories</t>
  </si>
  <si>
    <t>365-64-0515</t>
  </si>
  <si>
    <t>829-34-3910</t>
  </si>
  <si>
    <t>299-46-1805</t>
  </si>
  <si>
    <t>Sports and travel</t>
  </si>
  <si>
    <t>656-95-9349</t>
  </si>
  <si>
    <t>319-50-3348</t>
  </si>
  <si>
    <t>227-03-5010</t>
  </si>
  <si>
    <t>189-17-4241</t>
  </si>
  <si>
    <t>145-94-9061</t>
  </si>
  <si>
    <t>183-56-6882</t>
  </si>
  <si>
    <t>232-16-2483</t>
  </si>
  <si>
    <t>272-65-1806</t>
  </si>
  <si>
    <t>333-73-7901</t>
  </si>
  <si>
    <t>280-35-5823</t>
  </si>
  <si>
    <t>354-25-5821</t>
  </si>
  <si>
    <t>228-96-1411</t>
  </si>
  <si>
    <t>132-32-9879</t>
  </si>
  <si>
    <t>727-46-3608</t>
  </si>
  <si>
    <t>574-22-5561</t>
  </si>
  <si>
    <t>162-48-8011</t>
  </si>
  <si>
    <t>616-24-2851</t>
  </si>
  <si>
    <t>399-46-5918</t>
  </si>
  <si>
    <t>817-48-8732</t>
  </si>
  <si>
    <t>285-68-5083</t>
  </si>
  <si>
    <t>347-34-2234</t>
  </si>
  <si>
    <t>838-78-4295</t>
  </si>
  <si>
    <t>109-28-2512</t>
  </si>
  <si>
    <t>382-03-4532</t>
  </si>
  <si>
    <t>510-95-6347</t>
  </si>
  <si>
    <t>841-35-6630</t>
  </si>
  <si>
    <t>732-94-0499</t>
  </si>
  <si>
    <t>381-20-0914</t>
  </si>
  <si>
    <t>829-49-1914</t>
  </si>
  <si>
    <t>756-01-7507</t>
  </si>
  <si>
    <t>870-72-4431</t>
  </si>
  <si>
    <t>847-38-7188</t>
  </si>
  <si>
    <t>787-56-0757</t>
  </si>
  <si>
    <t>730-50-9884</t>
  </si>
  <si>
    <t>318-68-5053</t>
  </si>
  <si>
    <t>565-80-5980</t>
  </si>
  <si>
    <t>225-32-0908</t>
  </si>
  <si>
    <t>873-51-0671</t>
  </si>
  <si>
    <t>871-39-9221</t>
  </si>
  <si>
    <t>551-21-3069</t>
  </si>
  <si>
    <t>588-01-7461</t>
  </si>
  <si>
    <t>479-26-8945</t>
  </si>
  <si>
    <t>210-67-5886</t>
  </si>
  <si>
    <t>227-78-1148</t>
  </si>
  <si>
    <t>237-01-6122</t>
  </si>
  <si>
    <t>225-98-1496</t>
  </si>
  <si>
    <t>642-32-2990</t>
  </si>
  <si>
    <t>638-60-7125</t>
  </si>
  <si>
    <t>268-27-6179</t>
  </si>
  <si>
    <t>668-90-8900</t>
  </si>
  <si>
    <t>870-54-3162</t>
  </si>
  <si>
    <t>189-08-9157</t>
  </si>
  <si>
    <t>663-86-9076</t>
  </si>
  <si>
    <t>549-84-7482</t>
  </si>
  <si>
    <t>191-10-6171</t>
  </si>
  <si>
    <t>802-70-5316</t>
  </si>
  <si>
    <t>695-51-0018</t>
  </si>
  <si>
    <t>483-71-1164</t>
  </si>
  <si>
    <t>700-81-1757</t>
  </si>
  <si>
    <t>354-39-5160</t>
  </si>
  <si>
    <t>731-81-9469</t>
  </si>
  <si>
    <t>338-65-2210</t>
  </si>
  <si>
    <t>488-25-4221</t>
  </si>
  <si>
    <t>239-10-7476</t>
  </si>
  <si>
    <t>458-41-1477</t>
  </si>
  <si>
    <t>685-64-1609</t>
  </si>
  <si>
    <t>608-96-3517</t>
  </si>
  <si>
    <t>214-17-6927</t>
  </si>
  <si>
    <t>400-89-4171</t>
  </si>
  <si>
    <t>894-41-5205</t>
  </si>
  <si>
    <t>139-52-2867</t>
  </si>
  <si>
    <t>586-25-0848</t>
  </si>
  <si>
    <t>305-14-0245</t>
  </si>
  <si>
    <t>593-65-1552</t>
  </si>
  <si>
    <t>284-34-9626</t>
  </si>
  <si>
    <t>437-58-8131</t>
  </si>
  <si>
    <t>286-43-6208</t>
  </si>
  <si>
    <t>556-86-3144</t>
  </si>
  <si>
    <t>856-22-8149</t>
  </si>
  <si>
    <t>420-11-4919</t>
  </si>
  <si>
    <t>606-80-4905</t>
  </si>
  <si>
    <t>542-41-0513</t>
  </si>
  <si>
    <t>749-24-1565</t>
  </si>
  <si>
    <t>672-51-8681</t>
  </si>
  <si>
    <t>263-87-5680</t>
  </si>
  <si>
    <t>573-58-9734</t>
  </si>
  <si>
    <t>817-69-8206</t>
  </si>
  <si>
    <t>677-11-0152</t>
  </si>
  <si>
    <t>891-58-8335</t>
  </si>
  <si>
    <t>560-30-5617</t>
  </si>
  <si>
    <t>319-74-2561</t>
  </si>
  <si>
    <t>790-29-1172</t>
  </si>
  <si>
    <t>279-62-1445</t>
  </si>
  <si>
    <t>746-68-6593</t>
  </si>
  <si>
    <t>466-61-5506</t>
  </si>
  <si>
    <t>721-86-6247</t>
  </si>
  <si>
    <t>289-65-5721</t>
  </si>
  <si>
    <t>545-46-3100</t>
  </si>
  <si>
    <t>418-02-5978</t>
  </si>
  <si>
    <t>645-78-8093</t>
  </si>
  <si>
    <t>755-12-3214</t>
  </si>
  <si>
    <t>346-84-3103</t>
  </si>
  <si>
    <t>866-05-7563</t>
  </si>
  <si>
    <t>883-17-4236</t>
  </si>
  <si>
    <t>850-41-9669</t>
  </si>
  <si>
    <t>821-07-3596</t>
  </si>
  <si>
    <t>655-85-5130</t>
  </si>
  <si>
    <t>447-15-7839</t>
  </si>
  <si>
    <t>253-12-6086</t>
  </si>
  <si>
    <t>571-94-0759</t>
  </si>
  <si>
    <t>731-14-2199</t>
  </si>
  <si>
    <t>783-09-1637</t>
  </si>
  <si>
    <t>687-15-1097</t>
  </si>
  <si>
    <t>126-54-1082</t>
  </si>
  <si>
    <t>633-91-1052</t>
  </si>
  <si>
    <t>477-24-6490</t>
  </si>
  <si>
    <t>526-86-8552</t>
  </si>
  <si>
    <t>376-56-3573</t>
  </si>
  <si>
    <t>136-08-6195</t>
  </si>
  <si>
    <t>490-29-1201</t>
  </si>
  <si>
    <t>565-17-3836</t>
  </si>
  <si>
    <t>226-71-3580</t>
  </si>
  <si>
    <t>283-79-9594</t>
  </si>
  <si>
    <t>430-60-3493</t>
  </si>
  <si>
    <t>278-97-7759</t>
  </si>
  <si>
    <t>316-68-6352</t>
  </si>
  <si>
    <t>211-05-0490</t>
  </si>
  <si>
    <t>779-06-0012</t>
  </si>
  <si>
    <t>439-54-7422</t>
  </si>
  <si>
    <t>396-90-2219</t>
  </si>
  <si>
    <t>286-01-5402</t>
  </si>
  <si>
    <t>803-17-8013</t>
  </si>
  <si>
    <t>512-98-1403</t>
  </si>
  <si>
    <t>848-42-2560</t>
  </si>
  <si>
    <t>870-76-1733</t>
  </si>
  <si>
    <t>423-64-4619</t>
  </si>
  <si>
    <t>227-07-4446</t>
  </si>
  <si>
    <t>428-83-5800</t>
  </si>
  <si>
    <t>704-20-4138</t>
  </si>
  <si>
    <t>649-11-3678</t>
  </si>
  <si>
    <t>622-20-1945</t>
  </si>
  <si>
    <t>563-91-7120</t>
  </si>
  <si>
    <t>527-09-6272</t>
  </si>
  <si>
    <t>692-27-8933</t>
  </si>
  <si>
    <t>633-09-3463</t>
  </si>
  <si>
    <t>374-17-3652</t>
  </si>
  <si>
    <t>433-75-6987</t>
  </si>
  <si>
    <t>873-95-4984</t>
  </si>
  <si>
    <t>416-13-5917</t>
  </si>
  <si>
    <t>135-84-8019</t>
  </si>
  <si>
    <t>725-96-3778</t>
  </si>
  <si>
    <t>400-45-1220</t>
  </si>
  <si>
    <t>860-79-0874</t>
  </si>
  <si>
    <t>115-99-4379</t>
  </si>
  <si>
    <t>320-49-6392</t>
  </si>
  <si>
    <t>889-04-9723</t>
  </si>
  <si>
    <t>632-90-0281</t>
  </si>
  <si>
    <t>554-42-2417</t>
  </si>
  <si>
    <t>605-72-4132</t>
  </si>
  <si>
    <t>272-27-9238</t>
  </si>
  <si>
    <t>834-25-9262</t>
  </si>
  <si>
    <t>122-61-9553</t>
  </si>
  <si>
    <t>613-59-9758</t>
  </si>
  <si>
    <t>201-86-2184</t>
  </si>
  <si>
    <t>261-12-8671</t>
  </si>
  <si>
    <t>730-70-9830</t>
  </si>
  <si>
    <t>422-29-8786</t>
  </si>
  <si>
    <t>667-23-5919</t>
  </si>
  <si>
    <t>843-01-4703</t>
  </si>
  <si>
    <t>182-69-8360</t>
  </si>
  <si>
    <t>462-78-5240</t>
  </si>
  <si>
    <t>868-52-7573</t>
  </si>
  <si>
    <t>153-58-4872</t>
  </si>
  <si>
    <t>662-72-2873</t>
  </si>
  <si>
    <t>725-56-0833</t>
  </si>
  <si>
    <t>394-41-0748</t>
  </si>
  <si>
    <t>541-89-9860</t>
  </si>
  <si>
    <t>173-82-9529</t>
  </si>
  <si>
    <t>308-47-4913</t>
  </si>
  <si>
    <t>885-17-6250</t>
  </si>
  <si>
    <t>726-27-2396</t>
  </si>
  <si>
    <t>316-01-3952</t>
  </si>
  <si>
    <t>793-10-3222</t>
  </si>
  <si>
    <t>110-05-6330</t>
  </si>
  <si>
    <t>831-64-0259</t>
  </si>
  <si>
    <t>587-03-7455</t>
  </si>
  <si>
    <t>725-32-9708</t>
  </si>
  <si>
    <t>256-08-8343</t>
  </si>
  <si>
    <t>372-26-1506</t>
  </si>
  <si>
    <t>244-08-0162</t>
  </si>
  <si>
    <t>750-57-9686</t>
  </si>
  <si>
    <t>186-09-3669</t>
  </si>
  <si>
    <t>848-07-1692</t>
  </si>
  <si>
    <t>745-71-3520</t>
  </si>
  <si>
    <t>266-76-6436</t>
  </si>
  <si>
    <t>740-22-2500</t>
  </si>
  <si>
    <t>271-88-8734</t>
  </si>
  <si>
    <t>650-98-6268</t>
  </si>
  <si>
    <t>325-77-6186</t>
  </si>
  <si>
    <t>459-50-7686</t>
  </si>
  <si>
    <t>837-55-7229</t>
  </si>
  <si>
    <t>810-60-6344</t>
  </si>
  <si>
    <t>394-30-3170</t>
  </si>
  <si>
    <t>138-17-5109</t>
  </si>
  <si>
    <t>301-11-9629</t>
  </si>
  <si>
    <t>390-80-5128</t>
  </si>
  <si>
    <t>296-11-7041</t>
  </si>
  <si>
    <t>449-27-2918</t>
  </si>
  <si>
    <t>891-01-7034</t>
  </si>
  <si>
    <t>727-17-0390</t>
  </si>
  <si>
    <t>767-54-1907</t>
  </si>
  <si>
    <t>710-46-4433</t>
  </si>
  <si>
    <t>325-90-8763</t>
  </si>
  <si>
    <t>234-03-4040</t>
  </si>
  <si>
    <t>326-71-2155</t>
  </si>
  <si>
    <t>320-32-8842</t>
  </si>
  <si>
    <t>878-30-2331</t>
  </si>
  <si>
    <t>440-59-5691</t>
  </si>
  <si>
    <t>233-34-0817</t>
  </si>
  <si>
    <t>767-05-1286</t>
  </si>
  <si>
    <t>340-21-9136</t>
  </si>
  <si>
    <t>676-39-6028</t>
  </si>
  <si>
    <t>485-30-8700</t>
  </si>
  <si>
    <t>246-11-3901</t>
  </si>
  <si>
    <t>493-65-6248</t>
  </si>
  <si>
    <t>438-01-4015</t>
  </si>
  <si>
    <t>709-58-4068</t>
  </si>
  <si>
    <t>627-95-3243</t>
  </si>
  <si>
    <t>686-41-0932</t>
  </si>
  <si>
    <t>510-09-5628</t>
  </si>
  <si>
    <t>608-04-3797</t>
  </si>
  <si>
    <t>148-82-2527</t>
  </si>
  <si>
    <t>556-97-7101</t>
  </si>
  <si>
    <t>862-59-8517</t>
  </si>
  <si>
    <t>401-18-8016</t>
  </si>
  <si>
    <t>420-18-8989</t>
  </si>
  <si>
    <t>573-98-8548</t>
  </si>
  <si>
    <t>282-35-2475</t>
  </si>
  <si>
    <t>387-49-4215</t>
  </si>
  <si>
    <t>862-17-9201</t>
  </si>
  <si>
    <t>602-80-9671</t>
  </si>
  <si>
    <t>347-72-6115</t>
  </si>
  <si>
    <t>209-61-0206</t>
  </si>
  <si>
    <t>595-27-4851</t>
  </si>
  <si>
    <t>413-20-6708</t>
  </si>
  <si>
    <t>734-91-1155</t>
  </si>
  <si>
    <t>451-28-5717</t>
  </si>
  <si>
    <t>609-81-8548</t>
  </si>
  <si>
    <t>719-89-8991</t>
  </si>
  <si>
    <t>827-44-5872</t>
  </si>
  <si>
    <t>236-27-1144</t>
  </si>
  <si>
    <t>892-05-6689</t>
  </si>
  <si>
    <t>339-12-4827</t>
  </si>
  <si>
    <t>308-81-0538</t>
  </si>
  <si>
    <t>358-88-9262</t>
  </si>
  <si>
    <t>173-50-1108</t>
  </si>
  <si>
    <t>841-18-8232</t>
  </si>
  <si>
    <t>647-50-1224</t>
  </si>
  <si>
    <t>539-21-7227</t>
  </si>
  <si>
    <t>213-32-1216</t>
  </si>
  <si>
    <t>582-52-8065</t>
  </si>
  <si>
    <t>210-57-1719</t>
  </si>
  <si>
    <t>198-66-9832</t>
  </si>
  <si>
    <t>283-26-5248</t>
  </si>
  <si>
    <t>218-59-9410</t>
  </si>
  <si>
    <t>134-54-4720</t>
  </si>
  <si>
    <t>698-98-5964</t>
  </si>
  <si>
    <t>718-57-9773</t>
  </si>
  <si>
    <t>651-88-7328</t>
  </si>
  <si>
    <t>241-11-2261</t>
  </si>
  <si>
    <t>408-26-9866</t>
  </si>
  <si>
    <t>834-83-1826</t>
  </si>
  <si>
    <t>797-88-0493</t>
  </si>
  <si>
    <t>443-82-0585</t>
  </si>
  <si>
    <t>339-18-7061</t>
  </si>
  <si>
    <t>359-90-3665</t>
  </si>
  <si>
    <t>278-86-2735</t>
  </si>
  <si>
    <t>695-28-6250</t>
  </si>
  <si>
    <t>788-07-8452</t>
  </si>
  <si>
    <t>560-49-6611</t>
  </si>
  <si>
    <t>880-35-0356</t>
  </si>
  <si>
    <t>123-35-4896</t>
  </si>
  <si>
    <t>258-69-7810</t>
  </si>
  <si>
    <t>334-64-2006</t>
  </si>
  <si>
    <t>881-41-7302</t>
  </si>
  <si>
    <t>642-30-6693</t>
  </si>
  <si>
    <t>484-22-8230</t>
  </si>
  <si>
    <t>559-98-9873</t>
  </si>
  <si>
    <t>544-32-5024</t>
  </si>
  <si>
    <t>421-95-9805</t>
  </si>
  <si>
    <t>277-35-5865</t>
  </si>
  <si>
    <t>509-29-3912</t>
  </si>
  <si>
    <t>641-96-3695</t>
  </si>
  <si>
    <t>420-97-3340</t>
  </si>
  <si>
    <t>436-54-4512</t>
  </si>
  <si>
    <t>670-79-6321</t>
  </si>
  <si>
    <t>852-62-7105</t>
  </si>
  <si>
    <t>135-13-8269</t>
  </si>
  <si>
    <t>308-39-1707</t>
  </si>
  <si>
    <t>318-81-2368</t>
  </si>
  <si>
    <t>364-33-8584</t>
  </si>
  <si>
    <t>695-09-5146</t>
  </si>
  <si>
    <t>155-45-3814</t>
  </si>
  <si>
    <t>131-15-8856</t>
  </si>
  <si>
    <t>859-71-0933</t>
  </si>
  <si>
    <t>563-47-4072</t>
  </si>
  <si>
    <t>169-52-4504</t>
  </si>
  <si>
    <t>250-81-7186</t>
  </si>
  <si>
    <t>562-12-5430</t>
  </si>
  <si>
    <t>816-72-8853</t>
  </si>
  <si>
    <t>322-02-2271</t>
  </si>
  <si>
    <t>725-67-2480</t>
  </si>
  <si>
    <t>641-51-2661</t>
  </si>
  <si>
    <t>714-02-3114</t>
  </si>
  <si>
    <t>518-17-2983</t>
  </si>
  <si>
    <t>190-14-3147</t>
  </si>
  <si>
    <t>408-66-6712</t>
  </si>
  <si>
    <t>679-22-6530</t>
  </si>
  <si>
    <t>576-31-4774</t>
  </si>
  <si>
    <t>811-03-8790</t>
  </si>
  <si>
    <t>752-23-3760</t>
  </si>
  <si>
    <t>274-05-5470</t>
  </si>
  <si>
    <t>528-87-5606</t>
  </si>
  <si>
    <t>320-85-2052</t>
  </si>
  <si>
    <t>370-96-0655</t>
  </si>
  <si>
    <t>510-79-0415</t>
  </si>
  <si>
    <t>241-96-5076</t>
  </si>
  <si>
    <t>767-97-4650</t>
  </si>
  <si>
    <t>305-03-2383</t>
  </si>
  <si>
    <t>394-55-6384</t>
  </si>
  <si>
    <t>196-01-2849</t>
  </si>
  <si>
    <t>372-62-5264</t>
  </si>
  <si>
    <t>800-09-8606</t>
  </si>
  <si>
    <t>182-52-7000</t>
  </si>
  <si>
    <t>626-43-7888</t>
  </si>
  <si>
    <t>191-29-0321</t>
  </si>
  <si>
    <t>640-48-5028</t>
  </si>
  <si>
    <t>834-45-5519</t>
  </si>
  <si>
    <t>728-88-7867</t>
  </si>
  <si>
    <t>183-21-3799</t>
  </si>
  <si>
    <t>268-20-3585</t>
  </si>
  <si>
    <t>258-92-7466</t>
  </si>
  <si>
    <t>857-16-3520</t>
  </si>
  <si>
    <t>821-14-9046</t>
  </si>
  <si>
    <t>418-05-0656</t>
  </si>
  <si>
    <t>678-79-0726</t>
  </si>
  <si>
    <t>592-46-1692</t>
  </si>
  <si>
    <t>149-14-0304</t>
  </si>
  <si>
    <t>299-29-0180</t>
  </si>
  <si>
    <t>247-11-2470</t>
  </si>
  <si>
    <t>386-27-7606</t>
  </si>
  <si>
    <t>373-14-0504</t>
  </si>
  <si>
    <t>345-68-9016</t>
  </si>
  <si>
    <t>390-17-5806</t>
  </si>
  <si>
    <t>664-14-2882</t>
  </si>
  <si>
    <t>487-79-6868</t>
  </si>
  <si>
    <t>210-30-7976</t>
  </si>
  <si>
    <t>585-86-8361</t>
  </si>
  <si>
    <t>807-14-7833</t>
  </si>
  <si>
    <t>288-38-3758</t>
  </si>
  <si>
    <t>652-43-6591</t>
  </si>
  <si>
    <t>785-96-0615</t>
  </si>
  <si>
    <t>406-46-7107</t>
  </si>
  <si>
    <t>156-95-3964</t>
  </si>
  <si>
    <t>842-40-8179</t>
  </si>
  <si>
    <t>410-67-1709</t>
  </si>
  <si>
    <t>587-73-4862</t>
  </si>
  <si>
    <t>593-14-4239</t>
  </si>
  <si>
    <t>801-88-0346</t>
  </si>
  <si>
    <t>711-31-1234</t>
  </si>
  <si>
    <t>886-54-6089</t>
  </si>
  <si>
    <t>707-32-7409</t>
  </si>
  <si>
    <t>759-98-4285</t>
  </si>
  <si>
    <t>201-63-8275</t>
  </si>
  <si>
    <t>471-06-8611</t>
  </si>
  <si>
    <t>120-54-2248</t>
  </si>
  <si>
    <t>534-53-3526</t>
  </si>
  <si>
    <t>307-04-2070</t>
  </si>
  <si>
    <t>468-99-7231</t>
  </si>
  <si>
    <t>516-77-6464</t>
  </si>
  <si>
    <t>790-38-4466</t>
  </si>
  <si>
    <t>744-16-7898</t>
  </si>
  <si>
    <t>702-72-0487</t>
  </si>
  <si>
    <t>443-60-9639</t>
  </si>
  <si>
    <t>864-24-7918</t>
  </si>
  <si>
    <t>324-41-6833</t>
  </si>
  <si>
    <t>759-29-9521</t>
  </si>
  <si>
    <t>831-81-6575</t>
  </si>
  <si>
    <t>220-68-6701</t>
  </si>
  <si>
    <t>618-34-8551</t>
  </si>
  <si>
    <t>257-60-7754</t>
  </si>
  <si>
    <t>559-61-5987</t>
  </si>
  <si>
    <t>189-55-2313</t>
  </si>
  <si>
    <t>380-60-5336</t>
  </si>
  <si>
    <t>815-04-6282</t>
  </si>
  <si>
    <t>778-34-2523</t>
  </si>
  <si>
    <t>499-27-7781</t>
  </si>
  <si>
    <t>477-59-2456</t>
  </si>
  <si>
    <t>186-43-8965</t>
  </si>
  <si>
    <t>276-75-6884</t>
  </si>
  <si>
    <t>109-86-4363</t>
  </si>
  <si>
    <t>569-76-2760</t>
  </si>
  <si>
    <t>222-42-0244</t>
  </si>
  <si>
    <t>416-17-9926</t>
  </si>
  <si>
    <t>343-75-9322</t>
  </si>
  <si>
    <t>427-45-9297</t>
  </si>
  <si>
    <t>271-77-8740</t>
  </si>
  <si>
    <t>860-73-6466</t>
  </si>
  <si>
    <t>549-23-9016</t>
  </si>
  <si>
    <t>862-29-5914</t>
  </si>
  <si>
    <t>845-94-6841</t>
  </si>
  <si>
    <t>125-45-2293</t>
  </si>
  <si>
    <t>409-33-9708</t>
  </si>
  <si>
    <t>866-70-2814</t>
  </si>
  <si>
    <t>160-22-2687</t>
  </si>
  <si>
    <t>895-03-6665</t>
  </si>
  <si>
    <t>748-45-2862</t>
  </si>
  <si>
    <t>316-66-3011</t>
  </si>
  <si>
    <t>848-95-6252</t>
  </si>
  <si>
    <t>152-03-4217</t>
  </si>
  <si>
    <t>533-66-5566</t>
  </si>
  <si>
    <t>124-31-1458</t>
  </si>
  <si>
    <t>101-81-4070</t>
  </si>
  <si>
    <t>544-55-9589</t>
  </si>
  <si>
    <t>448-61-3783</t>
  </si>
  <si>
    <t>761-49-0439</t>
  </si>
  <si>
    <t>490-95-0021</t>
  </si>
  <si>
    <t>115-38-7388</t>
  </si>
  <si>
    <t>291-55-6563</t>
  </si>
  <si>
    <t>548-48-3156</t>
  </si>
  <si>
    <t>884-80-6021</t>
  </si>
  <si>
    <t>137-74-8729</t>
  </si>
  <si>
    <t>389-70-2397</t>
  </si>
  <si>
    <t>114-35-5271</t>
  </si>
  <si>
    <t>607-76-6216</t>
  </si>
  <si>
    <t>409-49-6995</t>
  </si>
  <si>
    <t>377-79-7592</t>
  </si>
  <si>
    <t>595-94-9924</t>
  </si>
  <si>
    <t>545-07-8534</t>
  </si>
  <si>
    <t>118-62-1812</t>
  </si>
  <si>
    <t>851-98-3555</t>
  </si>
  <si>
    <t>186-71-5196</t>
  </si>
  <si>
    <t>624-01-8356</t>
  </si>
  <si>
    <t>313-66-9943</t>
  </si>
  <si>
    <t>151-27-8496</t>
  </si>
  <si>
    <t>453-33-6436</t>
  </si>
  <si>
    <t>459-45-2396</t>
  </si>
  <si>
    <t>717-96-4189</t>
  </si>
  <si>
    <t>749-81-8133</t>
  </si>
  <si>
    <t>636-98-3364</t>
  </si>
  <si>
    <t>246-55-6923</t>
  </si>
  <si>
    <t>181-82-6255</t>
  </si>
  <si>
    <t>838-02-1821</t>
  </si>
  <si>
    <t>887-42-0517</t>
  </si>
  <si>
    <t>457-12-0244</t>
  </si>
  <si>
    <t>226-34-0034</t>
  </si>
  <si>
    <t>397-25-8725</t>
  </si>
  <si>
    <t>431-66-2305</t>
  </si>
  <si>
    <t>756-93-1854</t>
  </si>
  <si>
    <t>243-55-8457</t>
  </si>
  <si>
    <t>501-61-1753</t>
  </si>
  <si>
    <t>433-08-7822</t>
  </si>
  <si>
    <t>361-85-2571</t>
  </si>
  <si>
    <t>131-70-8179</t>
  </si>
  <si>
    <t>500-02-2261</t>
  </si>
  <si>
    <t>809-69-9497</t>
  </si>
  <si>
    <t>489-82-1237</t>
  </si>
  <si>
    <t>365-16-4334</t>
  </si>
  <si>
    <t>305-89-2768</t>
  </si>
  <si>
    <t>574-80-1489</t>
  </si>
  <si>
    <t>784-08-0310</t>
  </si>
  <si>
    <t>846-10-0341</t>
  </si>
  <si>
    <t>867-47-1948</t>
  </si>
  <si>
    <t>384-59-6655</t>
  </si>
  <si>
    <t>593-08-5916</t>
  </si>
  <si>
    <t>172-42-8274</t>
  </si>
  <si>
    <t>558-60-5016</t>
  </si>
  <si>
    <t>605-03-2706</t>
  </si>
  <si>
    <t>214-30-2776</t>
  </si>
  <si>
    <t>746-04-1077</t>
  </si>
  <si>
    <t>221-25-5073</t>
  </si>
  <si>
    <t>156-20-0370</t>
  </si>
  <si>
    <t>151-33-7434</t>
  </si>
  <si>
    <t>139-32-4183</t>
  </si>
  <si>
    <t>374-38-5555</t>
  </si>
  <si>
    <t>764-44-8999</t>
  </si>
  <si>
    <t>886-18-2897</t>
  </si>
  <si>
    <t>602-16-6955</t>
  </si>
  <si>
    <t>652-49-6720</t>
  </si>
  <si>
    <t>303-96-2227</t>
  </si>
  <si>
    <t>849-09-3807</t>
  </si>
  <si>
    <t>Male</t>
  </si>
  <si>
    <t>631-41-3108</t>
  </si>
  <si>
    <t>123-19-1176</t>
  </si>
  <si>
    <t>373-73-7910</t>
  </si>
  <si>
    <t>699-14-3026</t>
  </si>
  <si>
    <t>529-56-3974</t>
  </si>
  <si>
    <t>252-56-2699</t>
  </si>
  <si>
    <t>765-26-6951</t>
  </si>
  <si>
    <t>329-62-1586</t>
  </si>
  <si>
    <t>300-71-4605</t>
  </si>
  <si>
    <t>371-85-5789</t>
  </si>
  <si>
    <t>273-16-6619</t>
  </si>
  <si>
    <t>636-48-8204</t>
  </si>
  <si>
    <t>549-59-1358</t>
  </si>
  <si>
    <t>649-29-6775</t>
  </si>
  <si>
    <t>848-62-7243</t>
  </si>
  <si>
    <t>871-79-8483</t>
  </si>
  <si>
    <t>149-71-6266</t>
  </si>
  <si>
    <t>640-49-2076</t>
  </si>
  <si>
    <t>595-11-5460</t>
  </si>
  <si>
    <t>129-29-8530</t>
  </si>
  <si>
    <t>777-82-7220</t>
  </si>
  <si>
    <t>554-53-8700</t>
  </si>
  <si>
    <t>617-15-4209</t>
  </si>
  <si>
    <t>370-41-7321</t>
  </si>
  <si>
    <t>669-54-1719</t>
  </si>
  <si>
    <t>326-78-5178</t>
  </si>
  <si>
    <t>778-71-5554</t>
  </si>
  <si>
    <t>242-55-6721</t>
  </si>
  <si>
    <t>106-35-6779</t>
  </si>
  <si>
    <t>635-40-6220</t>
  </si>
  <si>
    <t>120-06-4233</t>
  </si>
  <si>
    <t>803-83-5989</t>
  </si>
  <si>
    <t>199-75-8169</t>
  </si>
  <si>
    <t>853-23-2453</t>
  </si>
  <si>
    <t>877-22-3308</t>
  </si>
  <si>
    <t>232-11-3025</t>
  </si>
  <si>
    <t>393-65-2792</t>
  </si>
  <si>
    <t>796-12-2025</t>
  </si>
  <si>
    <t>287-21-9091</t>
  </si>
  <si>
    <t>263-10-3913</t>
  </si>
  <si>
    <t>480-63-2856</t>
  </si>
  <si>
    <t>360-39-5055</t>
  </si>
  <si>
    <t>362-58-8315</t>
  </si>
  <si>
    <t>633-44-8566</t>
  </si>
  <si>
    <t>504-35-8843</t>
  </si>
  <si>
    <t>152-08-9985</t>
  </si>
  <si>
    <t>512-91-0811</t>
  </si>
  <si>
    <t>594-34-4444</t>
  </si>
  <si>
    <t>766-85-7061</t>
  </si>
  <si>
    <t>865-92-6136</t>
  </si>
  <si>
    <t>733-01-9107</t>
  </si>
  <si>
    <t>163-56-7055</t>
  </si>
  <si>
    <t>189-98-2939</t>
  </si>
  <si>
    <t>212-62-1842</t>
  </si>
  <si>
    <t>716-39-1409</t>
  </si>
  <si>
    <t>704-48-3927</t>
  </si>
  <si>
    <t>628-34-3388</t>
  </si>
  <si>
    <t>630-74-5166</t>
  </si>
  <si>
    <t>861-77-0145</t>
  </si>
  <si>
    <t>645-44-1170</t>
  </si>
  <si>
    <t>291-32-1427</t>
  </si>
  <si>
    <t>659-65-8956</t>
  </si>
  <si>
    <t>378-24-2715</t>
  </si>
  <si>
    <t>659-36-1684</t>
  </si>
  <si>
    <t>219-22-9386</t>
  </si>
  <si>
    <t>336-78-2147</t>
  </si>
  <si>
    <t>590-83-4591</t>
  </si>
  <si>
    <t>597-78-7908</t>
  </si>
  <si>
    <t>241-72-9525</t>
  </si>
  <si>
    <t>575-30-8091</t>
  </si>
  <si>
    <t>280-17-4359</t>
  </si>
  <si>
    <t>568-90-5112</t>
  </si>
  <si>
    <t>262-47-2794</t>
  </si>
  <si>
    <t>238-49-0436</t>
  </si>
  <si>
    <t>584-86-7256</t>
  </si>
  <si>
    <t>746-94-0204</t>
  </si>
  <si>
    <t>782-95-9291</t>
  </si>
  <si>
    <t>279-74-2924</t>
  </si>
  <si>
    <t>307-85-2293</t>
  </si>
  <si>
    <t>743-04-1105</t>
  </si>
  <si>
    <t>423-57-2993</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</si>
  <si>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</si>
  <si>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</si>
  <si>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</si>
  <si>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</si>
  <si>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</si>
  <si>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</si>
  <si>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</si>
  <si>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</si>
  <si>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</si>
  <si>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</si>
  <si>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</si>
  <si>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</si>
  <si>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</si>
  <si>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</si>
  <si>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</si>
  <si>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</si>
  <si>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407-63-8975</t>
  </si>
  <si>
    <t>342-65-4817</t>
  </si>
  <si>
    <t>130-98-8941</t>
  </si>
  <si>
    <t>434-83-9547</t>
  </si>
  <si>
    <t>851-28-6367</t>
  </si>
  <si>
    <t>824-88-3614</t>
  </si>
  <si>
    <t>895-66-0685</t>
  </si>
  <si>
    <t>732-04-5373</t>
  </si>
  <si>
    <t>400-60-7251</t>
  </si>
  <si>
    <t>641-43-2399</t>
  </si>
  <si>
    <t>831-07-6050</t>
  </si>
  <si>
    <t>848-24-9445</t>
  </si>
  <si>
    <t>699-01-4164</t>
  </si>
  <si>
    <t>426-39-2418</t>
  </si>
  <si>
    <t>875-46-5808</t>
  </si>
  <si>
    <t>394-43-4238</t>
  </si>
  <si>
    <t>888-02-0338</t>
  </si>
  <si>
    <t>142-63-6033</t>
  </si>
  <si>
    <t>656-16-1063</t>
  </si>
  <si>
    <t>802-43-8934</t>
  </si>
  <si>
    <t>549-03-9315</t>
  </si>
  <si>
    <t>239-36-3640</t>
  </si>
  <si>
    <t>468-01-2051</t>
  </si>
  <si>
    <t>389-25-3394</t>
  </si>
  <si>
    <t>213-72-6612</t>
  </si>
  <si>
    <t>836-82-5858</t>
  </si>
  <si>
    <t>583-72-1480</t>
  </si>
  <si>
    <t>269-04-5750</t>
  </si>
  <si>
    <t>157-13-5295</t>
  </si>
  <si>
    <t>211-30-9270</t>
  </si>
  <si>
    <t>478-06-7835</t>
  </si>
  <si>
    <t>540-11-4336</t>
  </si>
  <si>
    <t>448-81-5016</t>
  </si>
  <si>
    <t>142-72-4741</t>
  </si>
  <si>
    <t>217-58-1179</t>
  </si>
  <si>
    <t>376-02-8238</t>
  </si>
  <si>
    <t>530-90-9855</t>
  </si>
  <si>
    <t>604-70-6476</t>
  </si>
  <si>
    <t>799-71-1548</t>
  </si>
  <si>
    <t>785-13-7708</t>
  </si>
  <si>
    <t>845-51-0542</t>
  </si>
  <si>
    <t>662-47-5456</t>
  </si>
  <si>
    <t>290-68-2984</t>
  </si>
  <si>
    <t>704-11-6354</t>
  </si>
  <si>
    <t>110-48-7033</t>
  </si>
  <si>
    <t>366-93-0948</t>
  </si>
  <si>
    <t>729-09-9681</t>
  </si>
  <si>
    <t>151-16-1484</t>
  </si>
  <si>
    <t>380-94-4661</t>
  </si>
  <si>
    <t>154-74-7179</t>
  </si>
  <si>
    <t>808-65-0703</t>
  </si>
  <si>
    <t>144-51-6085</t>
  </si>
  <si>
    <t>566-19-5475</t>
  </si>
  <si>
    <t>537-72-0426</t>
  </si>
  <si>
    <t>828-61-5674</t>
  </si>
  <si>
    <t>523-38-0215</t>
  </si>
  <si>
    <t>667-92-0055</t>
  </si>
  <si>
    <t>498-41-1961</t>
  </si>
  <si>
    <t>593-95-4461</t>
  </si>
  <si>
    <t>139-20-0155</t>
  </si>
  <si>
    <t>558-80-4082</t>
  </si>
  <si>
    <t>585-03-5943</t>
  </si>
  <si>
    <t>727-75-6477</t>
  </si>
  <si>
    <t>744-02-5987</t>
  </si>
  <si>
    <t>307-83-9164</t>
  </si>
  <si>
    <t>446-47-6729</t>
  </si>
  <si>
    <t>573-10-3877</t>
  </si>
  <si>
    <t>735-06-4124</t>
  </si>
  <si>
    <t>411-77-0180</t>
  </si>
  <si>
    <t>532-59-7201</t>
  </si>
  <si>
    <t>181-94-6432</t>
  </si>
  <si>
    <t>174-36-3675</t>
  </si>
  <si>
    <t>603-07-0961</t>
  </si>
  <si>
    <t>787-15-1757</t>
  </si>
  <si>
    <t>372-94-8041</t>
  </si>
  <si>
    <t>746-54-5508</t>
  </si>
  <si>
    <t>276-54-0879</t>
  </si>
  <si>
    <t>815-11-1168</t>
  </si>
  <si>
    <t>719-76-3868</t>
  </si>
  <si>
    <t>730-61-8757</t>
  </si>
  <si>
    <t>340-66-0321</t>
  </si>
  <si>
    <t>868-81-1752</t>
  </si>
  <si>
    <t>634-97-8956</t>
  </si>
  <si>
    <t>566-71-1091</t>
  </si>
  <si>
    <t>442-48-3607</t>
  </si>
  <si>
    <t>835-16-0096</t>
  </si>
  <si>
    <t>898-04-2717</t>
  </si>
  <si>
    <t>378-07-7001</t>
  </si>
  <si>
    <t>150-89-8043</t>
  </si>
  <si>
    <t>441-94-7118</t>
  </si>
  <si>
    <t>531-80-1784</t>
  </si>
  <si>
    <t>834-61-8124</t>
  </si>
  <si>
    <t>565-67-6697</t>
  </si>
  <si>
    <t>453-63-6187</t>
  </si>
  <si>
    <t>578-80-7669</t>
  </si>
  <si>
    <t>612-36-5536</t>
  </si>
  <si>
    <t>471-41-2823</t>
  </si>
  <si>
    <t>462-67-9126</t>
  </si>
  <si>
    <t>468-88-0009</t>
  </si>
  <si>
    <t>254-31-0042</t>
  </si>
  <si>
    <t>382-25-8917</t>
  </si>
  <si>
    <t>743-88-1662</t>
  </si>
  <si>
    <t>595-86-2894</t>
  </si>
  <si>
    <t>289-15-7034</t>
  </si>
  <si>
    <t>525-88-7307</t>
  </si>
  <si>
    <t>689-16-9784</t>
  </si>
  <si>
    <t>596-42-3999</t>
  </si>
  <si>
    <t>563-36-9814</t>
  </si>
  <si>
    <t>760-54-1821</t>
  </si>
  <si>
    <t>346-12-3257</t>
  </si>
  <si>
    <t>651-61-0874</t>
  </si>
  <si>
    <t>236-86-3015</t>
  </si>
  <si>
    <t>882-40-4577</t>
  </si>
  <si>
    <t>732-67-5346</t>
  </si>
  <si>
    <t>569-71-4390</t>
  </si>
  <si>
    <t>132-23-6451</t>
  </si>
  <si>
    <t>696-90-2548</t>
  </si>
  <si>
    <t>472-15-9636</t>
  </si>
  <si>
    <t>268-03-6164</t>
  </si>
  <si>
    <t>301-81-8610</t>
  </si>
  <si>
    <t>489-64-4354</t>
  </si>
  <si>
    <t>198-84-7132</t>
  </si>
  <si>
    <t>269-10-8440</t>
  </si>
  <si>
    <t>741-73-3559</t>
  </si>
  <si>
    <t>286-75-7818</t>
  </si>
  <si>
    <t>574-57-9721</t>
  </si>
  <si>
    <t>616-87-0016</t>
  </si>
  <si>
    <t>751-69-0068</t>
  </si>
  <si>
    <t>257-73-1380</t>
  </si>
  <si>
    <t>345-08-4992</t>
  </si>
  <si>
    <t>549-96-4200</t>
  </si>
  <si>
    <t>450-28-2866</t>
  </si>
  <si>
    <t>192-98-7397</t>
  </si>
  <si>
    <t>235-46-8343</t>
  </si>
  <si>
    <t>453-12-7053</t>
  </si>
  <si>
    <t>744-09-5786</t>
  </si>
  <si>
    <t>568-88-3448</t>
  </si>
  <si>
    <t>187-83-5490</t>
  </si>
  <si>
    <t>533-33-5337</t>
  </si>
  <si>
    <t>729-46-7422</t>
  </si>
  <si>
    <t>639-76-1242</t>
  </si>
  <si>
    <t>470-32-9057</t>
  </si>
  <si>
    <t>554-53-3790</t>
  </si>
  <si>
    <t>746-19-0921</t>
  </si>
  <si>
    <t>405-31-3305</t>
  </si>
  <si>
    <t>731-59-7531</t>
  </si>
  <si>
    <t>502-05-1910</t>
  </si>
  <si>
    <t>598-47-9715</t>
  </si>
  <si>
    <t>701-69-8742</t>
  </si>
  <si>
    <t>575-67-1508</t>
  </si>
  <si>
    <t>541-08-3113</t>
  </si>
  <si>
    <t>674-15-9296</t>
  </si>
  <si>
    <t>305-18-3552</t>
  </si>
  <si>
    <t>795-49-7276</t>
  </si>
  <si>
    <t>556-72-8512</t>
  </si>
  <si>
    <t>437-53-3084</t>
  </si>
  <si>
    <t>632-32-4574</t>
  </si>
  <si>
    <t>277-63-2961</t>
  </si>
  <si>
    <t>620-02-2046</t>
  </si>
  <si>
    <t>511-54-3087</t>
  </si>
  <si>
    <t>726-29-6793</t>
  </si>
  <si>
    <t>291-21-5991</t>
  </si>
  <si>
    <t>189-52-0236</t>
  </si>
  <si>
    <t>503-07-0930</t>
  </si>
  <si>
    <t>425-85-2085</t>
  </si>
  <si>
    <t>521-18-7827</t>
  </si>
  <si>
    <t>220-28-1851</t>
  </si>
  <si>
    <t>600-38-9738</t>
  </si>
  <si>
    <t>133-14-7229</t>
  </si>
  <si>
    <t>534-01-4457</t>
  </si>
  <si>
    <t>286-62-6248</t>
  </si>
  <si>
    <t>339-38-9982</t>
  </si>
  <si>
    <t>827-77-7633</t>
  </si>
  <si>
    <t>287-83-1405</t>
  </si>
  <si>
    <t>435-13-4908</t>
  </si>
  <si>
    <t>857-67-9057</t>
  </si>
  <si>
    <t>583-41-4548</t>
  </si>
  <si>
    <t>643-38-7867</t>
  </si>
  <si>
    <t>460-35-4390</t>
  </si>
  <si>
    <t>343-87-0864</t>
  </si>
  <si>
    <t>243-47-2663</t>
  </si>
  <si>
    <t>701-23-5550</t>
  </si>
  <si>
    <t>541-48-8554</t>
  </si>
  <si>
    <t>747-58-7183</t>
  </si>
  <si>
    <t>399-69-4630</t>
  </si>
  <si>
    <t>134-75-2619</t>
  </si>
  <si>
    <t>356-44-8813</t>
  </si>
  <si>
    <t>712-39-0363</t>
  </si>
  <si>
    <t>174-75-0888</t>
  </si>
  <si>
    <t>866-99-7614</t>
  </si>
  <si>
    <t>760-90-2357</t>
  </si>
  <si>
    <t>514-37-2845</t>
  </si>
  <si>
    <t>343-61-3544</t>
  </si>
  <si>
    <t>239-48-4278</t>
  </si>
  <si>
    <t>355-34-6244</t>
  </si>
  <si>
    <t>550-84-8664</t>
  </si>
  <si>
    <t>339-96-8318</t>
  </si>
  <si>
    <t>458-61-0011</t>
  </si>
  <si>
    <t>592-34-6155</t>
  </si>
  <si>
    <t>207-73-1363</t>
  </si>
  <si>
    <t>390-31-6381</t>
  </si>
  <si>
    <t>375-72-3056</t>
  </si>
  <si>
    <t>127-47-6963</t>
  </si>
  <si>
    <t>379-17-6588</t>
  </si>
  <si>
    <t>227-50-3718</t>
  </si>
  <si>
    <t>302-15-2162</t>
  </si>
  <si>
    <t>585-11-6748</t>
  </si>
  <si>
    <t>470-31-3286</t>
  </si>
  <si>
    <t>152-68-2907</t>
  </si>
  <si>
    <t>219-61-4139</t>
  </si>
  <si>
    <t>373-09-4567</t>
  </si>
  <si>
    <t>830-58-2383</t>
  </si>
  <si>
    <t>318-12-0304</t>
  </si>
  <si>
    <t>349-97-8902</t>
  </si>
  <si>
    <t>789-23-8625</t>
  </si>
  <si>
    <t>284-54-4231</t>
  </si>
  <si>
    <t>443-59-0061</t>
  </si>
  <si>
    <t>327-40-9673</t>
  </si>
  <si>
    <t>840-19-2096</t>
  </si>
  <si>
    <t>828-46-6863</t>
  </si>
  <si>
    <t>598-06-7312</t>
  </si>
  <si>
    <t>816-57-2053</t>
  </si>
  <si>
    <t>628-90-8624</t>
  </si>
  <si>
    <t>856-66-2701</t>
  </si>
  <si>
    <t>149-61-1929</t>
  </si>
  <si>
    <t>655-07-2265</t>
  </si>
  <si>
    <t>589-02-8023</t>
  </si>
  <si>
    <t>420-04-7590</t>
  </si>
  <si>
    <t>182-88-2763</t>
  </si>
  <si>
    <t>188-55-0967</t>
  </si>
  <si>
    <t>610-46-4100</t>
  </si>
  <si>
    <t>665-63-9737</t>
  </si>
  <si>
    <t>794-32-2436</t>
  </si>
  <si>
    <t>273-84-2164</t>
  </si>
  <si>
    <t>706-36-6154</t>
  </si>
  <si>
    <t>778-89-7974</t>
  </si>
  <si>
    <t>574-31-8277</t>
  </si>
  <si>
    <t>740-11-5257</t>
  </si>
  <si>
    <t>369-82-2676</t>
  </si>
  <si>
    <t>742-04-5161</t>
  </si>
  <si>
    <t>149-15-7606</t>
  </si>
  <si>
    <t>133-77-3154</t>
  </si>
  <si>
    <t>491-38-3499</t>
  </si>
  <si>
    <t>842-29-4695</t>
  </si>
  <si>
    <t>779-42-2410</t>
  </si>
  <si>
    <t>588-47-8641</t>
  </si>
  <si>
    <t>642-61-4706</t>
  </si>
  <si>
    <t>556-41-6224</t>
  </si>
  <si>
    <t>242-11-3142</t>
  </si>
  <si>
    <t>648-94-3045</t>
  </si>
  <si>
    <t>130-67-4723</t>
  </si>
  <si>
    <t>105-10-6182</t>
  </si>
  <si>
    <t>648-83-1321</t>
  </si>
  <si>
    <t>173-57-2300</t>
  </si>
  <si>
    <t>266-20-6657</t>
  </si>
  <si>
    <t>689-05-1884</t>
  </si>
  <si>
    <t>826-58-8051</t>
  </si>
  <si>
    <t>868-06-0466</t>
  </si>
  <si>
    <t>751-41-9720</t>
  </si>
  <si>
    <t>176-64-7711</t>
  </si>
  <si>
    <t>729-06-2010</t>
  </si>
  <si>
    <t>186-79-9562</t>
  </si>
  <si>
    <t>162-65-8559</t>
  </si>
  <si>
    <t>760-27-5490</t>
  </si>
  <si>
    <t>445-30-9252</t>
  </si>
  <si>
    <t>786-94-2700</t>
  </si>
  <si>
    <t>735-32-9839</t>
  </si>
  <si>
    <t>482-17-1179</t>
  </si>
  <si>
    <t>788-21-5741</t>
  </si>
  <si>
    <t>776-68-1096</t>
  </si>
  <si>
    <t>434-35-9162</t>
  </si>
  <si>
    <t>442-44-6497</t>
  </si>
  <si>
    <t>174-64-0215</t>
  </si>
  <si>
    <t>210-74-9613</t>
  </si>
  <si>
    <t>635-28-5728</t>
  </si>
  <si>
    <t>756-49-0168</t>
  </si>
  <si>
    <t>438-23-1242</t>
  </si>
  <si>
    <t>238-45-6950</t>
  </si>
  <si>
    <t>607-65-2441</t>
  </si>
  <si>
    <t>137-63-5492</t>
  </si>
  <si>
    <t>197-77-7132</t>
  </si>
  <si>
    <t>805-86-0265</t>
  </si>
  <si>
    <t>733-29-1227</t>
  </si>
  <si>
    <t>451-73-2711</t>
  </si>
  <si>
    <t>546-80-2899</t>
  </si>
  <si>
    <t>457-13-1708</t>
  </si>
  <si>
    <t>314-23-4520</t>
  </si>
  <si>
    <t>775-72-1988</t>
  </si>
  <si>
    <t>250-17-5703</t>
  </si>
  <si>
    <t>525-09-8450</t>
  </si>
  <si>
    <t>787-87-2010</t>
  </si>
  <si>
    <t>388-76-2555</t>
  </si>
  <si>
    <t>200-16-5952</t>
  </si>
  <si>
    <t>102-77-2261</t>
  </si>
  <si>
    <t>875-31-8302</t>
  </si>
  <si>
    <t>102-06-2002</t>
  </si>
  <si>
    <t>457-94-0464</t>
  </si>
  <si>
    <t>629-42-4133</t>
  </si>
  <si>
    <t>404-91-5964</t>
  </si>
  <si>
    <t>886-77-9084</t>
  </si>
  <si>
    <t>704-10-4056</t>
  </si>
  <si>
    <t>497-37-6538</t>
  </si>
  <si>
    <t>651-96-5970</t>
  </si>
  <si>
    <t>400-80-4065</t>
  </si>
  <si>
    <t>263-12-5321</t>
  </si>
  <si>
    <t>605-83-1050</t>
  </si>
  <si>
    <t>359-94-5395</t>
  </si>
  <si>
    <t>401-09-4232</t>
  </si>
  <si>
    <t>751-15-6198</t>
  </si>
  <si>
    <t>474-33-8305</t>
  </si>
  <si>
    <t>565-91-4567</t>
  </si>
  <si>
    <t>674-56-6360</t>
  </si>
  <si>
    <t>832-51-6761</t>
  </si>
  <si>
    <t>869-11-3082</t>
  </si>
  <si>
    <t>190-59-3964</t>
  </si>
  <si>
    <t>366-43-6862</t>
  </si>
  <si>
    <t>784-21-9238</t>
  </si>
  <si>
    <t>760-53-9233</t>
  </si>
  <si>
    <t>538-22-0304</t>
  </si>
  <si>
    <t>237-44-6163</t>
  </si>
  <si>
    <t>636-17-0325</t>
  </si>
  <si>
    <t>528-14-9470</t>
  </si>
  <si>
    <t>807-34-3742</t>
  </si>
  <si>
    <t>288-62-1085</t>
  </si>
  <si>
    <t>670-71-7306</t>
  </si>
  <si>
    <t>660-29-7083</t>
  </si>
  <si>
    <t>497-36-0989</t>
  </si>
  <si>
    <t>291-59-1384</t>
  </si>
  <si>
    <t>896-34-0956</t>
  </si>
  <si>
    <t>804-38-3935</t>
  </si>
  <si>
    <t>585-90-0249</t>
  </si>
  <si>
    <t>843-73-4724</t>
  </si>
  <si>
    <t>658-66-3967</t>
  </si>
  <si>
    <t>770-42-8960</t>
  </si>
  <si>
    <t>234-36-2483</t>
  </si>
  <si>
    <t>840-76-5966</t>
  </si>
  <si>
    <t>176-78-1170</t>
  </si>
  <si>
    <t>361-59-0574</t>
  </si>
  <si>
    <t>631-34-1880</t>
  </si>
  <si>
    <t>852-82-2749</t>
  </si>
  <si>
    <t>873-14-6353</t>
  </si>
  <si>
    <t>584-66-4073</t>
  </si>
  <si>
    <t>166-19-2553</t>
  </si>
  <si>
    <t>737-88-5876</t>
  </si>
  <si>
    <t>154-87-7367</t>
  </si>
  <si>
    <t>885-56-0389</t>
  </si>
  <si>
    <t>608-05-3804</t>
  </si>
  <si>
    <t>311-13-6971</t>
  </si>
  <si>
    <t>460-93-5834</t>
  </si>
  <si>
    <t>325-89-4209</t>
  </si>
  <si>
    <t>880-46-5796</t>
  </si>
  <si>
    <t>715-20-1673</t>
  </si>
  <si>
    <t>811-35-1094</t>
  </si>
  <si>
    <t>699-88-1972</t>
  </si>
  <si>
    <t>781-84-8059</t>
  </si>
  <si>
    <t>725-54-0677</t>
  </si>
  <si>
    <t>146-09-5432</t>
  </si>
  <si>
    <t>509-10-0516</t>
  </si>
  <si>
    <t>865-41-9075</t>
  </si>
  <si>
    <t>450-42-3339</t>
  </si>
  <si>
    <t>522-57-8364</t>
  </si>
  <si>
    <t>722-13-2115</t>
  </si>
  <si>
    <t>777-67-2495</t>
  </si>
  <si>
    <t>321-49-7382</t>
  </si>
  <si>
    <t>825-94-5922</t>
  </si>
  <si>
    <t>641-62-7288</t>
  </si>
  <si>
    <t>458-10-8612</t>
  </si>
  <si>
    <t>235-06-8510</t>
  </si>
  <si>
    <t>720-72-2436</t>
  </si>
  <si>
    <t>702-83-5291</t>
  </si>
  <si>
    <t>449-16-6770</t>
  </si>
  <si>
    <t>333-23-2632</t>
  </si>
  <si>
    <t>859-97-6048</t>
  </si>
  <si>
    <t>676-10-2200</t>
  </si>
  <si>
    <t>373-88-1424</t>
  </si>
  <si>
    <t>503-21-4385</t>
  </si>
  <si>
    <t>200-40-6154</t>
  </si>
  <si>
    <t>577-34-7579</t>
  </si>
  <si>
    <t>430-02-3888</t>
  </si>
  <si>
    <t>256-58-3609</t>
  </si>
  <si>
    <t>324-92-3863</t>
  </si>
  <si>
    <t>364-34-2972</t>
  </si>
  <si>
    <t>794-42-3736</t>
  </si>
  <si>
    <t>195-06-0432</t>
  </si>
  <si>
    <t>448-34-8700</t>
  </si>
  <si>
    <t>452-04-8808</t>
  </si>
  <si>
    <t>531-56-4728</t>
  </si>
  <si>
    <t>744-82-9138</t>
  </si>
  <si>
    <t>883-69-1285</t>
  </si>
  <si>
    <t>518-71-6847</t>
  </si>
  <si>
    <t>728-47-9078</t>
  </si>
  <si>
    <t>809-46-1866</t>
  </si>
  <si>
    <t>148-41-7930</t>
  </si>
  <si>
    <t>189-40-5216</t>
  </si>
  <si>
    <t>552-44-5977</t>
  </si>
  <si>
    <t>267-62-7380</t>
  </si>
  <si>
    <t>430-53-4718</t>
  </si>
  <si>
    <t>745-74-0715</t>
  </si>
  <si>
    <t>690-01-6631</t>
  </si>
  <si>
    <t>233-67-5758</t>
  </si>
  <si>
    <t>727-02-1313</t>
  </si>
  <si>
    <t>347-56-2442</t>
  </si>
  <si>
    <t>Grand Total</t>
  </si>
  <si>
    <t>Sum of Quantity</t>
  </si>
  <si>
    <t>Row Labels</t>
  </si>
  <si>
    <t>Sum of Total</t>
  </si>
  <si>
    <t>Sum of Tax 5%</t>
  </si>
  <si>
    <t>Average Transaction Value</t>
  </si>
  <si>
    <t>Sales</t>
  </si>
  <si>
    <t>Sales volume by products</t>
  </si>
  <si>
    <t>Average of Total</t>
  </si>
  <si>
    <t>Total Net Sales</t>
  </si>
  <si>
    <t>Column Labels</t>
  </si>
  <si>
    <t>Non-member</t>
  </si>
  <si>
    <t>Member vs. Non-Member Sales Performance in Each Branch</t>
  </si>
  <si>
    <t>Total Sales</t>
  </si>
  <si>
    <t>Contribution</t>
  </si>
  <si>
    <t>Average Transaction Value by Branch</t>
  </si>
  <si>
    <t>Sales contribution per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</si>
</sst>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4" x14ac:knownFonts="1">
    <font>
      <sz val="12"/>
      <color theme="1"/>
      <name val="Arial"/>
      <family val="2"/>
    </font>
    <font>
      <sz val="12"/>
      <color theme="1"/>
      <name val="Arial"/>
      <family val="2"/>
    </font>
    <font>
      <sz val="12"/>
      <name val="Arial"/>
      <family val="2"/>
    </font>
    <font>
      <sz val="8"/>
      <color rgb="FF000000"/>
      <name val="Segoe UI"/>
      <family val="2"/>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0" fontId="2" fillId="0" borderId="0" xfId="0" applyFont="1" applyAlignment="1">
      <alignment horizontal="left" readingOrder="1"/>
    </xf>
    <xf numFmtId="0" fontId="2" fillId="0" borderId="0" xfId="0" applyFont="1" applyAlignment="1">
      <alignment horizontal="left" vertical="center" readingOrder="1"/>
    </xf>
    <xf numFmtId="164" fontId="0" fillId="0" borderId="0" xfId="1" applyNumberFormat="1" applyFont="1"/>
    <xf numFmtId="9" fontId="0" fillId="0" borderId="0" xfId="1" applyFont="1"/>
  </cellXfs>
  <cellStyles count="2">
    <cellStyle name="Normal" xfId="0" builtinId="0"/>
    <cellStyle name="Percent" xfId="1" builtinId="5"/>
  </cellStyles>
  <dxfs count="9">
    <dxf>
      <numFmt numFmtId="164" formatCode="[$$-409]#,##0"/>
    </dxf>
    <dxf>
      <numFmt numFmtId="164" formatCode="[$$-409]#,##0"/>
    </dxf>
    <dxf>
      <numFmt numFmtId="164" formatCode="[$$-409]#,##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CC"/>
      <color rgb="FFF85034"/>
      <color rgb="FFF99783"/>
      <color rgb="FF2ACA6B"/>
      <color rgb="FF50B4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analysis.1.xlsx]Analysis!PivotTable2</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D" sz="1400" b="1">
                <a:latin typeface="Segoe UI" panose="020B0502040204020203" pitchFamily="34" charset="0"/>
                <a:cs typeface="Segoe UI" panose="020B0502040204020203" pitchFamily="34" charset="0"/>
              </a:rPr>
              <a:t>Total Sales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50000"/>
            </a:schemeClr>
          </a:solidFill>
          <a:ln>
            <a:noFill/>
          </a:ln>
          <a:effectLst/>
        </c:spPr>
      </c:pivotFmt>
      <c:pivotFmt>
        <c:idx val="9"/>
        <c:spPr>
          <a:solidFill>
            <a:schemeClr val="accent1">
              <a:tint val="70000"/>
            </a:schemeClr>
          </a:solidFill>
          <a:ln>
            <a:noFill/>
          </a:ln>
          <a:effectLst/>
        </c:spPr>
      </c:pivotFmt>
      <c:pivotFmt>
        <c:idx val="10"/>
        <c:spPr>
          <a:solidFill>
            <a:schemeClr val="accent1">
              <a:tint val="50000"/>
            </a:schemeClr>
          </a:solidFill>
          <a:ln>
            <a:noFill/>
          </a:ln>
          <a:effectLst/>
        </c:spPr>
      </c:pivotFmt>
      <c:pivotFmt>
        <c:idx val="11"/>
        <c:spPr>
          <a:solidFill>
            <a:schemeClr val="accent1">
              <a:shade val="90000"/>
            </a:schemeClr>
          </a:solidFill>
          <a:ln>
            <a:noFill/>
          </a:ln>
          <a:effectLst/>
        </c:spPr>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Analysis!$B$15</c:f>
              <c:strCache>
                <c:ptCount val="1"/>
                <c:pt idx="0">
                  <c:v>Total</c:v>
                </c:pt>
              </c:strCache>
            </c:strRef>
          </c:tx>
          <c:invertIfNegative val="0"/>
          <c:dPt>
            <c:idx val="0"/>
            <c:invertIfNegative val="0"/>
            <c:bubble3D val="0"/>
            <c:spPr>
              <a:solidFill>
                <a:schemeClr val="accent1">
                  <a:tint val="50000"/>
                </a:schemeClr>
              </a:solidFill>
              <a:ln>
                <a:noFill/>
              </a:ln>
              <a:effectLst/>
            </c:spPr>
            <c:extLst>
              <c:ext xmlns:c16="http://schemas.microsoft.com/office/drawing/2014/chart" uri="{C3380CC4-5D6E-409C-BE32-E72D297353CC}">
                <c16:uniqueId val="{00000001-0C3E-4D96-9C87-F2268FA26294}"/>
              </c:ext>
            </c:extLst>
          </c:dPt>
          <c:dPt>
            <c:idx val="1"/>
            <c:invertIfNegative val="0"/>
            <c:bubble3D val="0"/>
            <c:spPr>
              <a:solidFill>
                <a:schemeClr val="accent1">
                  <a:tint val="70000"/>
                </a:schemeClr>
              </a:solidFill>
              <a:ln>
                <a:noFill/>
              </a:ln>
              <a:effectLst/>
            </c:spPr>
            <c:extLst>
              <c:ext xmlns:c16="http://schemas.microsoft.com/office/drawing/2014/chart" uri="{C3380CC4-5D6E-409C-BE32-E72D297353CC}">
                <c16:uniqueId val="{00000003-0C3E-4D96-9C87-F2268FA26294}"/>
              </c:ext>
            </c:extLst>
          </c:dPt>
          <c:dPt>
            <c:idx val="2"/>
            <c:invertIfNegative val="0"/>
            <c:bubble3D val="0"/>
            <c:spPr>
              <a:solidFill>
                <a:schemeClr val="accent1">
                  <a:tint val="90000"/>
                </a:schemeClr>
              </a:solidFill>
              <a:ln>
                <a:noFill/>
              </a:ln>
              <a:effectLst/>
            </c:spPr>
            <c:extLst>
              <c:ext xmlns:c16="http://schemas.microsoft.com/office/drawing/2014/chart" uri="{C3380CC4-5D6E-409C-BE32-E72D297353CC}">
                <c16:uniqueId val="{00000005-0C3E-4D96-9C87-F2268FA26294}"/>
              </c:ext>
            </c:extLst>
          </c:dPt>
          <c:dPt>
            <c:idx val="3"/>
            <c:invertIfNegative val="0"/>
            <c:bubble3D val="0"/>
            <c:spPr>
              <a:solidFill>
                <a:schemeClr val="accent1">
                  <a:shade val="90000"/>
                </a:schemeClr>
              </a:solidFill>
              <a:ln>
                <a:noFill/>
              </a:ln>
              <a:effectLst/>
            </c:spPr>
            <c:extLst>
              <c:ext xmlns:c16="http://schemas.microsoft.com/office/drawing/2014/chart" uri="{C3380CC4-5D6E-409C-BE32-E72D297353CC}">
                <c16:uniqueId val="{00000007-0C3E-4D96-9C87-F2268FA26294}"/>
              </c:ext>
            </c:extLst>
          </c:dPt>
          <c:dPt>
            <c:idx val="4"/>
            <c:invertIfNegative val="0"/>
            <c:bubble3D val="0"/>
            <c:spPr>
              <a:solidFill>
                <a:schemeClr val="accent1">
                  <a:shade val="70000"/>
                </a:schemeClr>
              </a:solidFill>
              <a:ln>
                <a:noFill/>
              </a:ln>
              <a:effectLst/>
            </c:spPr>
            <c:extLst>
              <c:ext xmlns:c16="http://schemas.microsoft.com/office/drawing/2014/chart" uri="{C3380CC4-5D6E-409C-BE32-E72D297353CC}">
                <c16:uniqueId val="{00000009-0C3E-4D96-9C87-F2268FA26294}"/>
              </c:ext>
            </c:extLst>
          </c:dPt>
          <c:dPt>
            <c:idx val="5"/>
            <c:invertIfNegative val="0"/>
            <c:bubble3D val="0"/>
            <c:spPr>
              <a:solidFill>
                <a:schemeClr val="accent1">
                  <a:shade val="50000"/>
                </a:schemeClr>
              </a:solidFill>
              <a:ln>
                <a:noFill/>
              </a:ln>
              <a:effectLst/>
            </c:spPr>
            <c:extLst>
              <c:ext xmlns:c16="http://schemas.microsoft.com/office/drawing/2014/chart" uri="{C3380CC4-5D6E-409C-BE32-E72D297353CC}">
                <c16:uniqueId val="{0000000B-0C3E-4D96-9C87-F2268FA26294}"/>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Analysis!$A$16:$A$22</c:f>
              <c:strCache>
                <c:ptCount val="6"/>
                <c:pt idx="0">
                  <c:v>Health and beauty</c:v>
                </c:pt>
                <c:pt idx="1">
                  <c:v>Food and beverages</c:v>
                </c:pt>
                <c:pt idx="2">
                  <c:v>Home and lifestyle</c:v>
                </c:pt>
                <c:pt idx="3">
                  <c:v>Fashion accessories</c:v>
                </c:pt>
                <c:pt idx="4">
                  <c:v>Sports and travel</c:v>
                </c:pt>
                <c:pt idx="5">
                  <c:v>Electronic accessories</c:v>
                </c:pt>
              </c:strCache>
            </c:strRef>
          </c:cat>
          <c:val>
            <c:numRef>
              <c:f>Analysis!$B$16:$B$22</c:f>
              <c:numCache>
                <c:formatCode>[$$-409]#.##0</c:formatCode>
                <c:ptCount val="6"/>
                <c:pt idx="0">
                  <c:v>4281555.5999999978</c:v>
                </c:pt>
                <c:pt idx="1">
                  <c:v>4766016.1500000004</c:v>
                </c:pt>
                <c:pt idx="2">
                  <c:v>4990689.8999999985</c:v>
                </c:pt>
                <c:pt idx="3">
                  <c:v>5037941.9999999991</c:v>
                </c:pt>
                <c:pt idx="4">
                  <c:v>5056830.450000002</c:v>
                </c:pt>
                <c:pt idx="5">
                  <c:v>5091502.5</c:v>
                </c:pt>
              </c:numCache>
            </c:numRef>
          </c:val>
          <c:extLst>
            <c:ext xmlns:c16="http://schemas.microsoft.com/office/drawing/2014/chart" uri="{C3380CC4-5D6E-409C-BE32-E72D297353CC}">
              <c16:uniqueId val="{00000000-DC9A-43BA-9859-56215F0096A6}"/>
            </c:ext>
          </c:extLst>
        </c:ser>
        <c:dLbls>
          <c:showLegendKey val="0"/>
          <c:showVal val="1"/>
          <c:showCatName val="0"/>
          <c:showSerName val="0"/>
          <c:showPercent val="0"/>
          <c:showBubbleSize val="0"/>
        </c:dLbls>
        <c:gapWidth val="75"/>
        <c:axId val="582883472"/>
        <c:axId val="582876272"/>
      </c:barChart>
      <c:catAx>
        <c:axId val="58288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2876272"/>
        <c:crosses val="autoZero"/>
        <c:auto val="1"/>
        <c:lblAlgn val="ctr"/>
        <c:lblOffset val="100"/>
        <c:noMultiLvlLbl val="0"/>
      </c:catAx>
      <c:valAx>
        <c:axId val="582876272"/>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288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analysis.1.xlsx]Analysis!PivotTable5</c:name>
    <c:fmtId val="3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D" b="1">
                <a:latin typeface="Segoe UI" panose="020B0502040204020203" pitchFamily="34" charset="0"/>
                <a:cs typeface="Segoe UI" panose="020B0502040204020203" pitchFamily="34" charset="0"/>
              </a:rPr>
              <a:t>Member vs Non-Member Sales Performance in Each Branch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Analysis!$B$25:$B$26</c:f>
              <c:strCache>
                <c:ptCount val="1"/>
                <c:pt idx="0">
                  <c:v>Non-member</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Analysis!$A$27:$A$29</c:f>
              <c:strCache>
                <c:ptCount val="3"/>
                <c:pt idx="0">
                  <c:v>A</c:v>
                </c:pt>
                <c:pt idx="1">
                  <c:v>B</c:v>
                </c:pt>
                <c:pt idx="2">
                  <c:v>C</c:v>
                </c:pt>
              </c:strCache>
            </c:strRef>
          </c:cat>
          <c:val>
            <c:numRef>
              <c:f>Analysis!$B$27:$B$29</c:f>
              <c:numCache>
                <c:formatCode>[$$-409]#.##0</c:formatCode>
                <c:ptCount val="3"/>
                <c:pt idx="0">
                  <c:v>28022.588150289012</c:v>
                </c:pt>
                <c:pt idx="1">
                  <c:v>29760.162574850303</c:v>
                </c:pt>
                <c:pt idx="2">
                  <c:v>30747.975471698104</c:v>
                </c:pt>
              </c:numCache>
            </c:numRef>
          </c:val>
          <c:extLst>
            <c:ext xmlns:c16="http://schemas.microsoft.com/office/drawing/2014/chart" uri="{C3380CC4-5D6E-409C-BE32-E72D297353CC}">
              <c16:uniqueId val="{00000000-D9C6-4690-9075-A65EAE5F8084}"/>
            </c:ext>
          </c:extLst>
        </c:ser>
        <c:ser>
          <c:idx val="1"/>
          <c:order val="1"/>
          <c:tx>
            <c:strRef>
              <c:f>Analysis!$C$25:$C$26</c:f>
              <c:strCache>
                <c:ptCount val="1"/>
                <c:pt idx="0">
                  <c:v>Member</c:v>
                </c:pt>
              </c:strCache>
            </c:strRef>
          </c:tx>
          <c:spPr>
            <a:solidFill>
              <a:schemeClr val="accent2"/>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Analysis!$A$27:$A$29</c:f>
              <c:strCache>
                <c:ptCount val="3"/>
                <c:pt idx="0">
                  <c:v>A</c:v>
                </c:pt>
                <c:pt idx="1">
                  <c:v>B</c:v>
                </c:pt>
                <c:pt idx="2">
                  <c:v>C</c:v>
                </c:pt>
              </c:strCache>
            </c:strRef>
          </c:cat>
          <c:val>
            <c:numRef>
              <c:f>Analysis!$C$27:$C$29</c:f>
              <c:numCache>
                <c:formatCode>[$$-409]#.##0</c:formatCode>
                <c:ptCount val="3"/>
                <c:pt idx="0">
                  <c:v>29548.188323353283</c:v>
                </c:pt>
                <c:pt idx="1">
                  <c:v>28740.803636363635</c:v>
                </c:pt>
                <c:pt idx="2">
                  <c:v>28644.813905325438</c:v>
                </c:pt>
              </c:numCache>
            </c:numRef>
          </c:val>
          <c:extLst>
            <c:ext xmlns:c16="http://schemas.microsoft.com/office/drawing/2014/chart" uri="{C3380CC4-5D6E-409C-BE32-E72D297353CC}">
              <c16:uniqueId val="{00000001-D9C6-4690-9075-A65EAE5F8084}"/>
            </c:ext>
          </c:extLst>
        </c:ser>
        <c:dLbls>
          <c:showLegendKey val="0"/>
          <c:showVal val="1"/>
          <c:showCatName val="0"/>
          <c:showSerName val="0"/>
          <c:showPercent val="0"/>
          <c:showBubbleSize val="0"/>
        </c:dLbls>
        <c:gapWidth val="150"/>
        <c:overlap val="-25"/>
        <c:axId val="1659994832"/>
        <c:axId val="1659992912"/>
      </c:barChart>
      <c:catAx>
        <c:axId val="165999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92912"/>
        <c:crosses val="autoZero"/>
        <c:auto val="1"/>
        <c:lblAlgn val="ctr"/>
        <c:lblOffset val="100"/>
        <c:noMultiLvlLbl val="0"/>
      </c:catAx>
      <c:valAx>
        <c:axId val="1659992912"/>
        <c:scaling>
          <c:orientation val="minMax"/>
        </c:scaling>
        <c:delete val="1"/>
        <c:axPos val="l"/>
        <c:numFmt formatCode="[$$-409]#.##0" sourceLinked="1"/>
        <c:majorTickMark val="none"/>
        <c:minorTickMark val="none"/>
        <c:tickLblPos val="nextTo"/>
        <c:crossAx val="165999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analysis.1.xlsx]Analysis!PivotTable11</c:name>
    <c:fmtId val="3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Transaction by Branch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s>
    <c:plotArea>
      <c:layout/>
      <c:barChart>
        <c:barDir val="col"/>
        <c:grouping val="clustered"/>
        <c:varyColors val="1"/>
        <c:ser>
          <c:idx val="0"/>
          <c:order val="0"/>
          <c:tx>
            <c:strRef>
              <c:f>Analysis!$B$57</c:f>
              <c:strCache>
                <c:ptCount val="1"/>
                <c:pt idx="0">
                  <c:v>Total</c:v>
                </c:pt>
              </c:strCache>
            </c:strRef>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34BB-4C1A-B881-D7787F5059D2}"/>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34BB-4C1A-B881-D7787F5059D2}"/>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34BB-4C1A-B881-D7787F5059D2}"/>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Analysis!$A$58:$A$60</c:f>
              <c:strCache>
                <c:ptCount val="3"/>
                <c:pt idx="0">
                  <c:v>A</c:v>
                </c:pt>
                <c:pt idx="1">
                  <c:v>B</c:v>
                </c:pt>
                <c:pt idx="2">
                  <c:v>C</c:v>
                </c:pt>
              </c:strCache>
            </c:strRef>
          </c:cat>
          <c:val>
            <c:numRef>
              <c:f>Analysis!$B$58:$B$60</c:f>
              <c:numCache>
                <c:formatCode>[$$-409]#.##0</c:formatCode>
                <c:ptCount val="3"/>
                <c:pt idx="0">
                  <c:v>28771.927058823538</c:v>
                </c:pt>
                <c:pt idx="1">
                  <c:v>29253.553463855435</c:v>
                </c:pt>
                <c:pt idx="2">
                  <c:v>29664.334298780512</c:v>
                </c:pt>
              </c:numCache>
            </c:numRef>
          </c:val>
          <c:extLst>
            <c:ext xmlns:c16="http://schemas.microsoft.com/office/drawing/2014/chart" uri="{C3380CC4-5D6E-409C-BE32-E72D297353CC}">
              <c16:uniqueId val="{00000006-34BB-4C1A-B881-D7787F5059D2}"/>
            </c:ext>
          </c:extLst>
        </c:ser>
        <c:dLbls>
          <c:showLegendKey val="0"/>
          <c:showVal val="1"/>
          <c:showCatName val="0"/>
          <c:showSerName val="0"/>
          <c:showPercent val="0"/>
          <c:showBubbleSize val="0"/>
        </c:dLbls>
        <c:gapWidth val="150"/>
        <c:overlap val="-25"/>
        <c:axId val="1164217423"/>
        <c:axId val="1164225103"/>
      </c:barChart>
      <c:catAx>
        <c:axId val="116421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225103"/>
        <c:crosses val="autoZero"/>
        <c:auto val="1"/>
        <c:lblAlgn val="ctr"/>
        <c:lblOffset val="100"/>
        <c:noMultiLvlLbl val="0"/>
      </c:catAx>
      <c:valAx>
        <c:axId val="1164225103"/>
        <c:scaling>
          <c:orientation val="minMax"/>
        </c:scaling>
        <c:delete val="1"/>
        <c:axPos val="l"/>
        <c:numFmt formatCode="[$$-409]#.##0" sourceLinked="1"/>
        <c:majorTickMark val="none"/>
        <c:minorTickMark val="none"/>
        <c:tickLblPos val="nextTo"/>
        <c:crossAx val="116421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analysis.1.xlsx]Analysis!PivotTable1</c:name>
    <c:fmtId val="49"/>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Sales Contribution per Branch</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pieChart>
        <c:varyColors val="1"/>
        <c:ser>
          <c:idx val="0"/>
          <c:order val="0"/>
          <c:tx>
            <c:strRef>
              <c:f>Analysis!$B$50</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386C-4353-B513-C646138D5B4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386C-4353-B513-C646138D5B4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386C-4353-B513-C646138D5B46}"/>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Analysis!$A$51:$A$54</c:f>
              <c:strCache>
                <c:ptCount val="3"/>
                <c:pt idx="0">
                  <c:v>A</c:v>
                </c:pt>
                <c:pt idx="1">
                  <c:v>B</c:v>
                </c:pt>
                <c:pt idx="2">
                  <c:v>C</c:v>
                </c:pt>
              </c:strCache>
            </c:strRef>
          </c:cat>
          <c:val>
            <c:numRef>
              <c:f>Analysis!$B$51:$B$54</c:f>
              <c:numCache>
                <c:formatCode>[$$-409]#.##0</c:formatCode>
                <c:ptCount val="3"/>
                <c:pt idx="0">
                  <c:v>9782455.200000003</c:v>
                </c:pt>
                <c:pt idx="1">
                  <c:v>9712179.7500000037</c:v>
                </c:pt>
                <c:pt idx="2">
                  <c:v>9729901.6500000078</c:v>
                </c:pt>
              </c:numCache>
            </c:numRef>
          </c:val>
          <c:extLst>
            <c:ext xmlns:c16="http://schemas.microsoft.com/office/drawing/2014/chart" uri="{C3380CC4-5D6E-409C-BE32-E72D297353CC}">
              <c16:uniqueId val="{00000006-386C-4353-B513-C646138D5B4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D" b="1">
                <a:latin typeface="Segoe UI" panose="020B0502040204020203" pitchFamily="34" charset="0"/>
                <a:cs typeface="Segoe UI" panose="020B0502040204020203" pitchFamily="34" charset="0"/>
              </a:rPr>
              <a:t>Product Sales Contribution per Branch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col"/>
        <c:grouping val="stacked"/>
        <c:varyColors val="0"/>
        <c:ser>
          <c:idx val="0"/>
          <c:order val="0"/>
          <c:tx>
            <c:v>Branch A</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Analysis!$G$72:$G$77</c:f>
              <c:strCache>
                <c:ptCount val="6"/>
                <c:pt idx="0">
                  <c:v>Health and beauty</c:v>
                </c:pt>
                <c:pt idx="1">
                  <c:v>Food and beverages</c:v>
                </c:pt>
                <c:pt idx="2">
                  <c:v>Home and lifestyle</c:v>
                </c:pt>
                <c:pt idx="3">
                  <c:v>Fashion accessories</c:v>
                </c:pt>
                <c:pt idx="4">
                  <c:v>Sports and travel</c:v>
                </c:pt>
                <c:pt idx="5">
                  <c:v>Electronic accessories</c:v>
                </c:pt>
              </c:strCache>
            </c:strRef>
          </c:cat>
          <c:val>
            <c:numRef>
              <c:f>Analysis!$H$72:$H$77</c:f>
              <c:numCache>
                <c:formatCode>0%</c:formatCode>
                <c:ptCount val="6"/>
                <c:pt idx="0">
                  <c:v>0.11257607906039785</c:v>
                </c:pt>
                <c:pt idx="1">
                  <c:v>0.16449027029533445</c:v>
                </c:pt>
                <c:pt idx="2">
                  <c:v>0.2201654805431667</c:v>
                </c:pt>
                <c:pt idx="3">
                  <c:v>0.14884436680067803</c:v>
                </c:pt>
                <c:pt idx="4">
                  <c:v>0.18006533267844663</c:v>
                </c:pt>
                <c:pt idx="5">
                  <c:v>0.17385847062197635</c:v>
                </c:pt>
              </c:numCache>
            </c:numRef>
          </c:val>
          <c:extLst>
            <c:ext xmlns:c16="http://schemas.microsoft.com/office/drawing/2014/chart" uri="{C3380CC4-5D6E-409C-BE32-E72D297353CC}">
              <c16:uniqueId val="{00000000-2A40-4AC5-906D-AFA999833269}"/>
            </c:ext>
          </c:extLst>
        </c:ser>
        <c:ser>
          <c:idx val="1"/>
          <c:order val="1"/>
          <c:tx>
            <c:v>Branch B</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Analysis!$G$72:$G$77</c:f>
              <c:strCache>
                <c:ptCount val="6"/>
                <c:pt idx="0">
                  <c:v>Health and beauty</c:v>
                </c:pt>
                <c:pt idx="1">
                  <c:v>Food and beverages</c:v>
                </c:pt>
                <c:pt idx="2">
                  <c:v>Home and lifestyle</c:v>
                </c:pt>
                <c:pt idx="3">
                  <c:v>Fashion accessories</c:v>
                </c:pt>
                <c:pt idx="4">
                  <c:v>Sports and travel</c:v>
                </c:pt>
                <c:pt idx="5">
                  <c:v>Electronic accessories</c:v>
                </c:pt>
              </c:strCache>
            </c:strRef>
          </c:cat>
          <c:val>
            <c:numRef>
              <c:f>Analysis!$I$72:$I$77</c:f>
              <c:numCache>
                <c:formatCode>0%</c:formatCode>
                <c:ptCount val="6"/>
                <c:pt idx="0">
                  <c:v>0.19134782282010379</c:v>
                </c:pt>
                <c:pt idx="1">
                  <c:v>0.12481719667513362</c:v>
                </c:pt>
                <c:pt idx="2">
                  <c:v>0.16732811189990587</c:v>
                </c:pt>
                <c:pt idx="3">
                  <c:v>0.16683133876306189</c:v>
                </c:pt>
                <c:pt idx="4">
                  <c:v>0.18987253093210105</c:v>
                </c:pt>
                <c:pt idx="5">
                  <c:v>0.15980299890969377</c:v>
                </c:pt>
              </c:numCache>
            </c:numRef>
          </c:val>
          <c:extLst>
            <c:ext xmlns:c16="http://schemas.microsoft.com/office/drawing/2014/chart" uri="{C3380CC4-5D6E-409C-BE32-E72D297353CC}">
              <c16:uniqueId val="{00000001-2A40-4AC5-906D-AFA999833269}"/>
            </c:ext>
          </c:extLst>
        </c:ser>
        <c:ser>
          <c:idx val="2"/>
          <c:order val="2"/>
          <c:tx>
            <c:v>Branch C</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Analysis!$G$72:$G$77</c:f>
              <c:strCache>
                <c:ptCount val="6"/>
                <c:pt idx="0">
                  <c:v>Health and beauty</c:v>
                </c:pt>
                <c:pt idx="1">
                  <c:v>Food and beverages</c:v>
                </c:pt>
                <c:pt idx="2">
                  <c:v>Home and lifestyle</c:v>
                </c:pt>
                <c:pt idx="3">
                  <c:v>Fashion accessories</c:v>
                </c:pt>
                <c:pt idx="4">
                  <c:v>Sports and travel</c:v>
                </c:pt>
                <c:pt idx="5">
                  <c:v>Electronic accessories</c:v>
                </c:pt>
              </c:strCache>
            </c:strRef>
          </c:cat>
          <c:val>
            <c:numRef>
              <c:f>Analysis!$J$72:$J$77</c:f>
              <c:numCache>
                <c:formatCode>0%</c:formatCode>
                <c:ptCount val="6"/>
                <c:pt idx="0">
                  <c:v>0.13585756028685042</c:v>
                </c:pt>
                <c:pt idx="1">
                  <c:v>0.19986331516516409</c:v>
                </c:pt>
                <c:pt idx="2">
                  <c:v>0.12454496392571454</c:v>
                </c:pt>
                <c:pt idx="3">
                  <c:v>0.20160354858263135</c:v>
                </c:pt>
                <c:pt idx="4">
                  <c:v>0.14915600405888996</c:v>
                </c:pt>
                <c:pt idx="5">
                  <c:v>0.18897460798074978</c:v>
                </c:pt>
              </c:numCache>
            </c:numRef>
          </c:val>
          <c:extLst>
            <c:ext xmlns:c16="http://schemas.microsoft.com/office/drawing/2014/chart" uri="{C3380CC4-5D6E-409C-BE32-E72D297353CC}">
              <c16:uniqueId val="{00000002-2A40-4AC5-906D-AFA999833269}"/>
            </c:ext>
          </c:extLst>
        </c:ser>
        <c:dLbls>
          <c:showLegendKey val="0"/>
          <c:showVal val="1"/>
          <c:showCatName val="0"/>
          <c:showSerName val="0"/>
          <c:showPercent val="0"/>
          <c:showBubbleSize val="0"/>
        </c:dLbls>
        <c:gapWidth val="95"/>
        <c:overlap val="100"/>
        <c:axId val="886210879"/>
        <c:axId val="886194559"/>
      </c:barChart>
      <c:catAx>
        <c:axId val="88621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194559"/>
        <c:crosses val="autoZero"/>
        <c:auto val="1"/>
        <c:lblAlgn val="ctr"/>
        <c:lblOffset val="100"/>
        <c:noMultiLvlLbl val="0"/>
      </c:catAx>
      <c:valAx>
        <c:axId val="886194559"/>
        <c:scaling>
          <c:orientation val="minMax"/>
        </c:scaling>
        <c:delete val="1"/>
        <c:axPos val="l"/>
        <c:numFmt formatCode="0%" sourceLinked="1"/>
        <c:majorTickMark val="none"/>
        <c:minorTickMark val="none"/>
        <c:tickLblPos val="nextTo"/>
        <c:crossAx val="886210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F$15" lockText="1" noThreeD="1"/>
</file>

<file path=xl/ctrlProps/ctrlProp2.xml><?xml version="1.0" encoding="utf-8"?>
<formControlPr xmlns="http://schemas.microsoft.com/office/spreadsheetml/2009/9/main" objectType="CheckBox" checked="Checked" fmlaLink="$G$15" lockText="1" noThreeD="1"/>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241300</xdr:colOff>
          <xdr:row>11</xdr:row>
          <xdr:rowOff>184150</xdr:rowOff>
        </xdr:from>
        <xdr:to>
          <xdr:col>5</xdr:col>
          <xdr:colOff>1003300</xdr:colOff>
          <xdr:row>13</xdr:row>
          <xdr:rowOff>6350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D" sz="800" b="0" i="0" u="none" strike="noStrike" baseline="0">
                  <a:solidFill>
                    <a:srgbClr val="000000"/>
                  </a:solidFill>
                  <a:latin typeface="Segoe UI"/>
                  <a:cs typeface="Segoe UI"/>
                </a:rPr>
                <a:t>Check Box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444500</xdr:colOff>
          <xdr:row>11</xdr:row>
          <xdr:rowOff>165100</xdr:rowOff>
        </xdr:from>
        <xdr:to>
          <xdr:col>6</xdr:col>
          <xdr:colOff>1206500</xdr:colOff>
          <xdr:row>12</xdr:row>
          <xdr:rowOff>184150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D" sz="800" b="0" i="0" u="none" strike="noStrike" baseline="0">
                  <a:solidFill>
                    <a:srgbClr val="000000"/>
                  </a:solidFill>
                  <a:latin typeface="Segoe UI"/>
                  <a:cs typeface="Segoe UI"/>
                </a:rPr>
                <a:t>Check Box 2</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613475</xdr:colOff>
      <xdr:row>0</xdr:row>
      <xdr:rowOff>0</xdr:rowOff>
    </xdr:from>
    <xdr:to>
      <xdr:col>22</xdr:col>
      <xdr:colOff>115499</xdr:colOff>
      <xdr:row>4</xdr:row>
      <xdr:rowOff>177799</xdr:rowOff>
    </xdr:to>
    <xdr:sp macro="" textlink="">
      <xdr:nvSpPr>
        <xdr:cNvPr id="2" name="Rectangle: Top Corners Rounded 1">
          <a:extLst>
            <a:ext uri="{FF2B5EF4-FFF2-40B4-BE49-F238E27FC236}">
              <a16:creationId xmlns:a16="http://schemas.microsoft.com/office/drawing/2014/main" id="{83FF0A91-4761-518E-DBBD-8C67126B8AFB}"/>
            </a:ext>
          </a:extLst>
        </xdr:cNvPr>
        <xdr:cNvSpPr/>
      </xdr:nvSpPr>
      <xdr:spPr>
        <a:xfrm flipV="1">
          <a:off x="2141780" y="0"/>
          <a:ext cx="14785075" cy="952714"/>
        </a:xfrm>
        <a:prstGeom prst="round2SameRect">
          <a:avLst/>
        </a:prstGeom>
        <a:blipFill>
          <a:blip xmlns:r="http://schemas.openxmlformats.org/officeDocument/2006/relationships" r:embed="rId1"/>
          <a:tile tx="0" ty="0" sx="100000" sy="100000" flip="none" algn="tl"/>
        </a:blip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514258</xdr:colOff>
      <xdr:row>0</xdr:row>
      <xdr:rowOff>151515</xdr:rowOff>
    </xdr:from>
    <xdr:to>
      <xdr:col>19</xdr:col>
      <xdr:colOff>177091</xdr:colOff>
      <xdr:row>3</xdr:row>
      <xdr:rowOff>173182</xdr:rowOff>
    </xdr:to>
    <xdr:sp macro="" textlink="">
      <xdr:nvSpPr>
        <xdr:cNvPr id="5" name="Rectangle: Rounded Corners 4">
          <a:extLst>
            <a:ext uri="{FF2B5EF4-FFF2-40B4-BE49-F238E27FC236}">
              <a16:creationId xmlns:a16="http://schemas.microsoft.com/office/drawing/2014/main" id="{3D2B4F91-D0AB-BDE6-802D-868C4EBEDFD5}"/>
            </a:ext>
          </a:extLst>
        </xdr:cNvPr>
        <xdr:cNvSpPr/>
      </xdr:nvSpPr>
      <xdr:spPr>
        <a:xfrm>
          <a:off x="12740699" y="151515"/>
          <a:ext cx="1955290" cy="602853"/>
        </a:xfrm>
        <a:prstGeom prst="roundRect">
          <a:avLst/>
        </a:prstGeom>
        <a:solidFill>
          <a:srgbClr val="FFFFCC"/>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oneCellAnchor>
    <xdr:from>
      <xdr:col>16</xdr:col>
      <xdr:colOff>747918</xdr:colOff>
      <xdr:row>2</xdr:row>
      <xdr:rowOff>49481</xdr:rowOff>
    </xdr:from>
    <xdr:ext cx="1482291" cy="247424"/>
    <xdr:sp macro="" textlink="Analysis!A34">
      <xdr:nvSpPr>
        <xdr:cNvPr id="7" name="TextBox 6">
          <a:extLst>
            <a:ext uri="{FF2B5EF4-FFF2-40B4-BE49-F238E27FC236}">
              <a16:creationId xmlns:a16="http://schemas.microsoft.com/office/drawing/2014/main" id="{0C854E76-7521-4EE0-B833-F54AAACFEB9B}"/>
            </a:ext>
          </a:extLst>
        </xdr:cNvPr>
        <xdr:cNvSpPr txBox="1"/>
      </xdr:nvSpPr>
      <xdr:spPr>
        <a:xfrm>
          <a:off x="12974359" y="436939"/>
          <a:ext cx="1482291" cy="247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175146F-B7A0-4570-92BE-4D761133F462}" type="TxLink">
            <a:rPr lang="en-US" sz="1100" b="0"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pPr algn="ctr"/>
            <a:t>$29.224.537</a:t>
          </a:fld>
          <a:endParaRPr lang="en-ID" sz="1000">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oneCellAnchor>
  <xdr:twoCellAnchor editAs="oneCell">
    <xdr:from>
      <xdr:col>3</xdr:col>
      <xdr:colOff>2812</xdr:colOff>
      <xdr:row>11</xdr:row>
      <xdr:rowOff>0</xdr:rowOff>
    </xdr:from>
    <xdr:to>
      <xdr:col>5</xdr:col>
      <xdr:colOff>320312</xdr:colOff>
      <xdr:row>14</xdr:row>
      <xdr:rowOff>59935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8F469550-A7B1-7B40-FA43-01DF489C6F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95270" y="2131017"/>
              <a:ext cx="1845805" cy="64112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202467</xdr:colOff>
      <xdr:row>0</xdr:row>
      <xdr:rowOff>151515</xdr:rowOff>
    </xdr:from>
    <xdr:to>
      <xdr:col>21</xdr:col>
      <xdr:colOff>627340</xdr:colOff>
      <xdr:row>3</xdr:row>
      <xdr:rowOff>173182</xdr:rowOff>
    </xdr:to>
    <xdr:sp macro="" textlink="">
      <xdr:nvSpPr>
        <xdr:cNvPr id="12" name="Rectangle: Rounded Corners 11">
          <a:extLst>
            <a:ext uri="{FF2B5EF4-FFF2-40B4-BE49-F238E27FC236}">
              <a16:creationId xmlns:a16="http://schemas.microsoft.com/office/drawing/2014/main" id="{5F2E14DE-EBBB-D3AC-EB08-EE56F80E2C07}"/>
            </a:ext>
          </a:extLst>
        </xdr:cNvPr>
        <xdr:cNvSpPr/>
      </xdr:nvSpPr>
      <xdr:spPr>
        <a:xfrm>
          <a:off x="14721365" y="151515"/>
          <a:ext cx="1953178" cy="602853"/>
        </a:xfrm>
        <a:prstGeom prst="roundRect">
          <a:avLst/>
        </a:prstGeom>
        <a:solidFill>
          <a:srgbClr val="FFFFCC"/>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oneCellAnchor>
    <xdr:from>
      <xdr:col>19</xdr:col>
      <xdr:colOff>647416</xdr:colOff>
      <xdr:row>2</xdr:row>
      <xdr:rowOff>49481</xdr:rowOff>
    </xdr:from>
    <xdr:ext cx="1051919" cy="250050"/>
    <xdr:sp macro="" textlink="Analysis!A40">
      <xdr:nvSpPr>
        <xdr:cNvPr id="13" name="TextBox 12">
          <a:extLst>
            <a:ext uri="{FF2B5EF4-FFF2-40B4-BE49-F238E27FC236}">
              <a16:creationId xmlns:a16="http://schemas.microsoft.com/office/drawing/2014/main" id="{8847CD21-6A8F-1CEB-D541-367CC8A892EC}"/>
            </a:ext>
          </a:extLst>
        </xdr:cNvPr>
        <xdr:cNvSpPr txBox="1"/>
      </xdr:nvSpPr>
      <xdr:spPr>
        <a:xfrm>
          <a:off x="15166314" y="436939"/>
          <a:ext cx="1051919" cy="250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7EA2F21-1965-4FF1-9C69-D3C9AE51D403}" type="TxLink">
            <a:rPr lang="en-US" sz="1100" b="0"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pPr algn="ctr"/>
            <a:t>$1.391.645</a:t>
          </a:fld>
          <a:endParaRPr lang="en-ID" sz="1000">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oneCellAnchor>
  <xdr:twoCellAnchor>
    <xdr:from>
      <xdr:col>3</xdr:col>
      <xdr:colOff>0</xdr:colOff>
      <xdr:row>6</xdr:row>
      <xdr:rowOff>0</xdr:rowOff>
    </xdr:from>
    <xdr:to>
      <xdr:col>5</xdr:col>
      <xdr:colOff>228600</xdr:colOff>
      <xdr:row>10</xdr:row>
      <xdr:rowOff>0</xdr:rowOff>
    </xdr:to>
    <xdr:sp macro="" textlink="">
      <xdr:nvSpPr>
        <xdr:cNvPr id="16" name="Rectangle: Rounded Corners 15">
          <a:extLst>
            <a:ext uri="{FF2B5EF4-FFF2-40B4-BE49-F238E27FC236}">
              <a16:creationId xmlns:a16="http://schemas.microsoft.com/office/drawing/2014/main" id="{9CDEE2D5-BD82-FA30-E3E4-A902C6E4FFC9}"/>
            </a:ext>
          </a:extLst>
        </xdr:cNvPr>
        <xdr:cNvSpPr/>
      </xdr:nvSpPr>
      <xdr:spPr>
        <a:xfrm>
          <a:off x="2286000" y="1190625"/>
          <a:ext cx="1752600" cy="793750"/>
        </a:xfrm>
        <a:prstGeom prst="roundRect">
          <a:avLst/>
        </a:prstGeom>
        <a:solidFill>
          <a:srgbClr val="FFFFCC"/>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D" sz="1100"/>
        </a:p>
      </xdr:txBody>
    </xdr:sp>
    <xdr:clientData/>
  </xdr:twoCellAnchor>
  <xdr:oneCellAnchor>
    <xdr:from>
      <xdr:col>3</xdr:col>
      <xdr:colOff>155988</xdr:colOff>
      <xdr:row>7</xdr:row>
      <xdr:rowOff>150809</xdr:rowOff>
    </xdr:from>
    <xdr:ext cx="1440624" cy="158748"/>
    <xdr:sp macro="" textlink="Analysis!B43">
      <xdr:nvSpPr>
        <xdr:cNvPr id="17" name="TextBox 16">
          <a:extLst>
            <a:ext uri="{FF2B5EF4-FFF2-40B4-BE49-F238E27FC236}">
              <a16:creationId xmlns:a16="http://schemas.microsoft.com/office/drawing/2014/main" id="{2BF8510D-5D17-640C-99D1-617C8D80509F}"/>
            </a:ext>
          </a:extLst>
        </xdr:cNvPr>
        <xdr:cNvSpPr txBox="1"/>
      </xdr:nvSpPr>
      <xdr:spPr>
        <a:xfrm>
          <a:off x="2441988" y="1539872"/>
          <a:ext cx="1440624" cy="158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77B3EE7-5DFF-40D7-B1EF-FA1FE715FBA1}" type="TxLink">
            <a:rPr lang="en-US" sz="1100" b="0"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pPr algn="ctr"/>
            <a:t>$5.091.503</a:t>
          </a:fld>
          <a:endParaRPr lang="en-ID" sz="1000">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oneCellAnchor>
  <xdr:oneCellAnchor>
    <xdr:from>
      <xdr:col>3</xdr:col>
      <xdr:colOff>365125</xdr:colOff>
      <xdr:row>6</xdr:row>
      <xdr:rowOff>61735</xdr:rowOff>
    </xdr:from>
    <xdr:ext cx="1022350" cy="255764"/>
    <xdr:sp macro="" textlink="">
      <xdr:nvSpPr>
        <xdr:cNvPr id="18" name="TextBox 17">
          <a:extLst>
            <a:ext uri="{FF2B5EF4-FFF2-40B4-BE49-F238E27FC236}">
              <a16:creationId xmlns:a16="http://schemas.microsoft.com/office/drawing/2014/main" id="{549B7628-DAB2-0306-D48D-CFE0329198A3}"/>
            </a:ext>
          </a:extLst>
        </xdr:cNvPr>
        <xdr:cNvSpPr txBox="1"/>
      </xdr:nvSpPr>
      <xdr:spPr>
        <a:xfrm>
          <a:off x="2640542" y="1225902"/>
          <a:ext cx="1022350" cy="255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Top</a:t>
          </a:r>
          <a:r>
            <a:rPr lang="en-US" sz="1100" b="1" i="0" u="none" strike="noStrike" baseline="0">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 Product</a:t>
          </a:r>
          <a:endParaRPr lang="en-US" sz="11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oneCellAnchor>
  <xdr:oneCellAnchor>
    <xdr:from>
      <xdr:col>3</xdr:col>
      <xdr:colOff>1794</xdr:colOff>
      <xdr:row>8</xdr:row>
      <xdr:rowOff>158748</xdr:rowOff>
    </xdr:from>
    <xdr:ext cx="1749012" cy="198437"/>
    <xdr:sp macro="" textlink="Analysis!A43">
      <xdr:nvSpPr>
        <xdr:cNvPr id="20" name="TextBox 19">
          <a:extLst>
            <a:ext uri="{FF2B5EF4-FFF2-40B4-BE49-F238E27FC236}">
              <a16:creationId xmlns:a16="http://schemas.microsoft.com/office/drawing/2014/main" id="{68F6AA7C-77B5-AB04-5C24-4C4958374638}"/>
            </a:ext>
          </a:extLst>
        </xdr:cNvPr>
        <xdr:cNvSpPr txBox="1"/>
      </xdr:nvSpPr>
      <xdr:spPr>
        <a:xfrm>
          <a:off x="2287794" y="1746248"/>
          <a:ext cx="1749012" cy="1984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0A18C4F-F946-44C9-9BF9-AC46B7866DDF}" type="TxLink">
            <a:rPr lang="en-US" sz="1100" b="0"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pPr algn="ctr"/>
            <a:t>Electronic accessories</a:t>
          </a:fld>
          <a:endParaRPr lang="en-ID" sz="1000" b="0" u="none">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oneCellAnchor>
  <xdr:twoCellAnchor>
    <xdr:from>
      <xdr:col>14</xdr:col>
      <xdr:colOff>69567</xdr:colOff>
      <xdr:row>0</xdr:row>
      <xdr:rowOff>151515</xdr:rowOff>
    </xdr:from>
    <xdr:to>
      <xdr:col>16</xdr:col>
      <xdr:colOff>494722</xdr:colOff>
      <xdr:row>3</xdr:row>
      <xdr:rowOff>173182</xdr:rowOff>
    </xdr:to>
    <xdr:sp macro="" textlink="">
      <xdr:nvSpPr>
        <xdr:cNvPr id="22" name="Rectangle: Rounded Corners 21">
          <a:extLst>
            <a:ext uri="{FF2B5EF4-FFF2-40B4-BE49-F238E27FC236}">
              <a16:creationId xmlns:a16="http://schemas.microsoft.com/office/drawing/2014/main" id="{5C444254-D416-4AFF-20A1-B752025945D5}"/>
            </a:ext>
          </a:extLst>
        </xdr:cNvPr>
        <xdr:cNvSpPr/>
      </xdr:nvSpPr>
      <xdr:spPr>
        <a:xfrm>
          <a:off x="10767703" y="151515"/>
          <a:ext cx="1953460" cy="602853"/>
        </a:xfrm>
        <a:prstGeom prst="roundRect">
          <a:avLst/>
        </a:prstGeom>
        <a:solidFill>
          <a:srgbClr val="FFFFCC"/>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oneCellAnchor>
    <xdr:from>
      <xdr:col>14</xdr:col>
      <xdr:colOff>299471</xdr:colOff>
      <xdr:row>2</xdr:row>
      <xdr:rowOff>49481</xdr:rowOff>
    </xdr:from>
    <xdr:ext cx="1482291" cy="247424"/>
    <xdr:sp macro="" textlink="Analysis!A37">
      <xdr:nvSpPr>
        <xdr:cNvPr id="23" name="TextBox 22">
          <a:extLst>
            <a:ext uri="{FF2B5EF4-FFF2-40B4-BE49-F238E27FC236}">
              <a16:creationId xmlns:a16="http://schemas.microsoft.com/office/drawing/2014/main" id="{BE2CB88B-1FFF-B9EF-389F-956B5C923F72}"/>
            </a:ext>
          </a:extLst>
        </xdr:cNvPr>
        <xdr:cNvSpPr txBox="1"/>
      </xdr:nvSpPr>
      <xdr:spPr>
        <a:xfrm>
          <a:off x="10997607" y="436939"/>
          <a:ext cx="1482291" cy="247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A306B8A-B284-4AFD-8C24-BF389B27AE7B}" type="TxLink">
            <a:rPr lang="en-US" sz="1100" b="0"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pPr algn="ctr"/>
            <a:t>5510</a:t>
          </a:fld>
          <a:endParaRPr lang="en-ID" sz="1000">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oneCellAnchor>
  <xdr:twoCellAnchor>
    <xdr:from>
      <xdr:col>5</xdr:col>
      <xdr:colOff>461818</xdr:colOff>
      <xdr:row>5</xdr:row>
      <xdr:rowOff>190527</xdr:rowOff>
    </xdr:from>
    <xdr:to>
      <xdr:col>15</xdr:col>
      <xdr:colOff>135328</xdr:colOff>
      <xdr:row>19</xdr:row>
      <xdr:rowOff>28069</xdr:rowOff>
    </xdr:to>
    <xdr:graphicFrame macro="">
      <xdr:nvGraphicFramePr>
        <xdr:cNvPr id="27" name="Chart 26">
          <a:extLst>
            <a:ext uri="{FF2B5EF4-FFF2-40B4-BE49-F238E27FC236}">
              <a16:creationId xmlns:a16="http://schemas.microsoft.com/office/drawing/2014/main" id="{96C615BD-54E3-40F8-990E-355D6BC55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377799</xdr:colOff>
      <xdr:row>0</xdr:row>
      <xdr:rowOff>151515</xdr:rowOff>
    </xdr:from>
    <xdr:to>
      <xdr:col>14</xdr:col>
      <xdr:colOff>40101</xdr:colOff>
      <xdr:row>3</xdr:row>
      <xdr:rowOff>173182</xdr:rowOff>
    </xdr:to>
    <xdr:sp macro="" textlink="">
      <xdr:nvSpPr>
        <xdr:cNvPr id="4" name="Rectangle: Rounded Corners 3">
          <a:extLst>
            <a:ext uri="{FF2B5EF4-FFF2-40B4-BE49-F238E27FC236}">
              <a16:creationId xmlns:a16="http://schemas.microsoft.com/office/drawing/2014/main" id="{043C2B7F-6874-98D6-BF4E-B32F0A61369D}"/>
            </a:ext>
          </a:extLst>
        </xdr:cNvPr>
        <xdr:cNvSpPr/>
      </xdr:nvSpPr>
      <xdr:spPr>
        <a:xfrm>
          <a:off x="8783477" y="151515"/>
          <a:ext cx="1954760" cy="602853"/>
        </a:xfrm>
        <a:prstGeom prst="roundRect">
          <a:avLst/>
        </a:prstGeom>
        <a:solidFill>
          <a:srgbClr val="FFFFCC"/>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oneCellAnchor>
    <xdr:from>
      <xdr:col>11</xdr:col>
      <xdr:colOff>605513</xdr:colOff>
      <xdr:row>2</xdr:row>
      <xdr:rowOff>49481</xdr:rowOff>
    </xdr:from>
    <xdr:ext cx="1482291" cy="247424"/>
    <xdr:sp macro="" textlink="Analysis!C34">
      <xdr:nvSpPr>
        <xdr:cNvPr id="8" name="TextBox 7">
          <a:extLst>
            <a:ext uri="{FF2B5EF4-FFF2-40B4-BE49-F238E27FC236}">
              <a16:creationId xmlns:a16="http://schemas.microsoft.com/office/drawing/2014/main" id="{676F86E4-9F7E-6A67-D8C3-EBE20CB5CE0A}"/>
            </a:ext>
          </a:extLst>
        </xdr:cNvPr>
        <xdr:cNvSpPr txBox="1"/>
      </xdr:nvSpPr>
      <xdr:spPr>
        <a:xfrm>
          <a:off x="9011191" y="436939"/>
          <a:ext cx="1482291" cy="247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8A53688-629D-46E1-B27B-F10F00638FD1}" type="TxLink">
            <a:rPr lang="en-US" sz="1100" b="0"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pPr algn="ctr"/>
            <a:t>$29.225</a:t>
          </a:fld>
          <a:endParaRPr lang="en-ID" sz="1000">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oneCellAnchor>
  <xdr:oneCellAnchor>
    <xdr:from>
      <xdr:col>11</xdr:col>
      <xdr:colOff>377358</xdr:colOff>
      <xdr:row>1</xdr:row>
      <xdr:rowOff>10306</xdr:rowOff>
    </xdr:from>
    <xdr:ext cx="1938600" cy="166083"/>
    <xdr:sp macro="" textlink="">
      <xdr:nvSpPr>
        <xdr:cNvPr id="11" name="TextBox 10">
          <a:extLst>
            <a:ext uri="{FF2B5EF4-FFF2-40B4-BE49-F238E27FC236}">
              <a16:creationId xmlns:a16="http://schemas.microsoft.com/office/drawing/2014/main" id="{3073B8AF-0A85-051C-52A1-A9A6EF6742E4}"/>
            </a:ext>
          </a:extLst>
        </xdr:cNvPr>
        <xdr:cNvSpPr txBox="1"/>
      </xdr:nvSpPr>
      <xdr:spPr>
        <a:xfrm>
          <a:off x="8783036" y="204035"/>
          <a:ext cx="1938600" cy="1660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Average Transaction</a:t>
          </a:r>
          <a:r>
            <a:rPr lang="en-US" sz="1100" b="1" i="0" u="none" strike="noStrike" baseline="0">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 </a:t>
          </a:r>
          <a:r>
            <a:rPr lang="en-US" sz="11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Value</a:t>
          </a:r>
        </a:p>
      </xdr:txBody>
    </xdr:sp>
    <xdr:clientData/>
  </xdr:oneCellAnchor>
  <xdr:oneCellAnchor>
    <xdr:from>
      <xdr:col>14</xdr:col>
      <xdr:colOff>91320</xdr:colOff>
      <xdr:row>1</xdr:row>
      <xdr:rowOff>10306</xdr:rowOff>
    </xdr:from>
    <xdr:ext cx="1898593" cy="214386"/>
    <xdr:sp macro="" textlink="">
      <xdr:nvSpPr>
        <xdr:cNvPr id="14" name="TextBox 13">
          <a:extLst>
            <a:ext uri="{FF2B5EF4-FFF2-40B4-BE49-F238E27FC236}">
              <a16:creationId xmlns:a16="http://schemas.microsoft.com/office/drawing/2014/main" id="{5BA2AB48-C210-EC48-6D41-0EF5367A14CA}"/>
            </a:ext>
          </a:extLst>
        </xdr:cNvPr>
        <xdr:cNvSpPr txBox="1"/>
      </xdr:nvSpPr>
      <xdr:spPr>
        <a:xfrm>
          <a:off x="10789456" y="204035"/>
          <a:ext cx="1898593" cy="214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US" sz="1100" b="1" i="0" u="none" strike="noStrike" baseline="0">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 Units Sold</a:t>
          </a:r>
          <a:endParaRPr lang="en-US" sz="11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oneCellAnchor>
  <xdr:oneCellAnchor>
    <xdr:from>
      <xdr:col>16</xdr:col>
      <xdr:colOff>534087</xdr:colOff>
      <xdr:row>1</xdr:row>
      <xdr:rowOff>10306</xdr:rowOff>
    </xdr:from>
    <xdr:ext cx="1898593" cy="214386"/>
    <xdr:sp macro="" textlink="">
      <xdr:nvSpPr>
        <xdr:cNvPr id="21" name="TextBox 20">
          <a:extLst>
            <a:ext uri="{FF2B5EF4-FFF2-40B4-BE49-F238E27FC236}">
              <a16:creationId xmlns:a16="http://schemas.microsoft.com/office/drawing/2014/main" id="{36C6299F-EE0E-4D48-516F-E5431D4A34BF}"/>
            </a:ext>
          </a:extLst>
        </xdr:cNvPr>
        <xdr:cNvSpPr txBox="1"/>
      </xdr:nvSpPr>
      <xdr:spPr>
        <a:xfrm>
          <a:off x="12760528" y="204035"/>
          <a:ext cx="1898593" cy="214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US" sz="1100" b="1" i="0" u="none" strike="noStrike" baseline="0">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 Sales</a:t>
          </a:r>
          <a:endParaRPr lang="en-US" sz="11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oneCellAnchor>
  <xdr:oneCellAnchor>
    <xdr:from>
      <xdr:col>19</xdr:col>
      <xdr:colOff>224079</xdr:colOff>
      <xdr:row>1</xdr:row>
      <xdr:rowOff>10306</xdr:rowOff>
    </xdr:from>
    <xdr:ext cx="1898593" cy="214386"/>
    <xdr:sp macro="" textlink="">
      <xdr:nvSpPr>
        <xdr:cNvPr id="29" name="TextBox 28">
          <a:extLst>
            <a:ext uri="{FF2B5EF4-FFF2-40B4-BE49-F238E27FC236}">
              <a16:creationId xmlns:a16="http://schemas.microsoft.com/office/drawing/2014/main" id="{CCAFAE77-9AA6-9A0D-1620-1ED267C2E306}"/>
            </a:ext>
          </a:extLst>
        </xdr:cNvPr>
        <xdr:cNvSpPr txBox="1"/>
      </xdr:nvSpPr>
      <xdr:spPr>
        <a:xfrm>
          <a:off x="14742977" y="204035"/>
          <a:ext cx="1898593" cy="214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US" sz="1100" b="1" i="0" u="none" strike="noStrike" baseline="0">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rPr>
            <a:t> Tax Collected</a:t>
          </a:r>
          <a:endParaRPr lang="en-US" sz="1100" b="1" i="0" u="none" strike="noStrike">
            <a:solidFill>
              <a:srgbClr val="00000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oneCellAnchor>
  <xdr:twoCellAnchor>
    <xdr:from>
      <xdr:col>15</xdr:col>
      <xdr:colOff>239427</xdr:colOff>
      <xdr:row>19</xdr:row>
      <xdr:rowOff>160719</xdr:rowOff>
    </xdr:from>
    <xdr:to>
      <xdr:col>21</xdr:col>
      <xdr:colOff>719918</xdr:colOff>
      <xdr:row>32</xdr:row>
      <xdr:rowOff>192290</xdr:rowOff>
    </xdr:to>
    <xdr:graphicFrame macro="">
      <xdr:nvGraphicFramePr>
        <xdr:cNvPr id="30" name="Chart 29">
          <a:extLst>
            <a:ext uri="{FF2B5EF4-FFF2-40B4-BE49-F238E27FC236}">
              <a16:creationId xmlns:a16="http://schemas.microsoft.com/office/drawing/2014/main" id="{57E325D6-8695-41EE-A8CD-C053BF5AF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460223</xdr:colOff>
      <xdr:row>19</xdr:row>
      <xdr:rowOff>160278</xdr:rowOff>
    </xdr:from>
    <xdr:to>
      <xdr:col>10</xdr:col>
      <xdr:colOff>275461</xdr:colOff>
      <xdr:row>32</xdr:row>
      <xdr:rowOff>192731</xdr:rowOff>
    </xdr:to>
    <xdr:graphicFrame macro="">
      <xdr:nvGraphicFramePr>
        <xdr:cNvPr id="9" name="Chart 8">
          <a:extLst>
            <a:ext uri="{FF2B5EF4-FFF2-40B4-BE49-F238E27FC236}">
              <a16:creationId xmlns:a16="http://schemas.microsoft.com/office/drawing/2014/main" id="{91F42194-A924-4AF5-8AA4-EE5A87CF4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2513</xdr:colOff>
      <xdr:row>14</xdr:row>
      <xdr:rowOff>106393</xdr:rowOff>
    </xdr:from>
    <xdr:to>
      <xdr:col>5</xdr:col>
      <xdr:colOff>320610</xdr:colOff>
      <xdr:row>20</xdr:row>
      <xdr:rowOff>129353</xdr:rowOff>
    </xdr:to>
    <mc:AlternateContent xmlns:mc="http://schemas.openxmlformats.org/markup-compatibility/2006" xmlns:a14="http://schemas.microsoft.com/office/drawing/2010/main">
      <mc:Choice Requires="a14">
        <xdr:graphicFrame macro="">
          <xdr:nvGraphicFramePr>
            <xdr:cNvPr id="19" name="City">
              <a:extLst>
                <a:ext uri="{FF2B5EF4-FFF2-40B4-BE49-F238E27FC236}">
                  <a16:creationId xmlns:a16="http://schemas.microsoft.com/office/drawing/2014/main" id="{8004F6B4-E487-1C43-75E1-67B6E0385DA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294971" y="2818596"/>
              <a:ext cx="1846402" cy="118533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341816</xdr:colOff>
      <xdr:row>19</xdr:row>
      <xdr:rowOff>160103</xdr:rowOff>
    </xdr:from>
    <xdr:to>
      <xdr:col>15</xdr:col>
      <xdr:colOff>157053</xdr:colOff>
      <xdr:row>32</xdr:row>
      <xdr:rowOff>192907</xdr:rowOff>
    </xdr:to>
    <xdr:graphicFrame macro="">
      <xdr:nvGraphicFramePr>
        <xdr:cNvPr id="24" name="Chart 23">
          <a:extLst>
            <a:ext uri="{FF2B5EF4-FFF2-40B4-BE49-F238E27FC236}">
              <a16:creationId xmlns:a16="http://schemas.microsoft.com/office/drawing/2014/main" id="{590902F2-9443-428F-9F4B-A7934F85D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2314</xdr:colOff>
      <xdr:row>20</xdr:row>
      <xdr:rowOff>175325</xdr:rowOff>
    </xdr:from>
    <xdr:to>
      <xdr:col>5</xdr:col>
      <xdr:colOff>320809</xdr:colOff>
      <xdr:row>24</xdr:row>
      <xdr:rowOff>41209</xdr:rowOff>
    </xdr:to>
    <mc:AlternateContent xmlns:mc="http://schemas.openxmlformats.org/markup-compatibility/2006" xmlns:a14="http://schemas.microsoft.com/office/drawing/2010/main">
      <mc:Choice Requires="a14">
        <xdr:graphicFrame macro="">
          <xdr:nvGraphicFramePr>
            <xdr:cNvPr id="26" name="Branch">
              <a:extLst>
                <a:ext uri="{FF2B5EF4-FFF2-40B4-BE49-F238E27FC236}">
                  <a16:creationId xmlns:a16="http://schemas.microsoft.com/office/drawing/2014/main" id="{56C82528-097A-BC0E-0874-1BB4A84FD59C}"/>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294772" y="4049901"/>
              <a:ext cx="1846800" cy="6408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247319</xdr:colOff>
      <xdr:row>5</xdr:row>
      <xdr:rowOff>190807</xdr:rowOff>
    </xdr:from>
    <xdr:to>
      <xdr:col>21</xdr:col>
      <xdr:colOff>733701</xdr:colOff>
      <xdr:row>19</xdr:row>
      <xdr:rowOff>27789</xdr:rowOff>
    </xdr:to>
    <xdr:graphicFrame macro="">
      <xdr:nvGraphicFramePr>
        <xdr:cNvPr id="3" name="Chart 2">
          <a:extLst>
            <a:ext uri="{FF2B5EF4-FFF2-40B4-BE49-F238E27FC236}">
              <a16:creationId xmlns:a16="http://schemas.microsoft.com/office/drawing/2014/main" id="{C932CBAC-66AF-4BE2-BBD3-78F3896CE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706691</xdr:colOff>
      <xdr:row>0</xdr:row>
      <xdr:rowOff>153628</xdr:rowOff>
    </xdr:from>
    <xdr:to>
      <xdr:col>10</xdr:col>
      <xdr:colOff>276529</xdr:colOff>
      <xdr:row>3</xdr:row>
      <xdr:rowOff>174638</xdr:rowOff>
    </xdr:to>
    <xdr:sp macro="" textlink="">
      <xdr:nvSpPr>
        <xdr:cNvPr id="15" name="Rectangle: Rounded Corners 14">
          <a:extLst>
            <a:ext uri="{FF2B5EF4-FFF2-40B4-BE49-F238E27FC236}">
              <a16:creationId xmlns:a16="http://schemas.microsoft.com/office/drawing/2014/main" id="{25267B83-E8A1-3942-2DF6-6DBC907BFFF7}"/>
            </a:ext>
          </a:extLst>
        </xdr:cNvPr>
        <xdr:cNvSpPr/>
      </xdr:nvSpPr>
      <xdr:spPr>
        <a:xfrm>
          <a:off x="3738304" y="153628"/>
          <a:ext cx="4117257" cy="604800"/>
        </a:xfrm>
        <a:prstGeom prst="roundRect">
          <a:avLst/>
        </a:prstGeom>
        <a:solidFill>
          <a:srgbClr val="F8503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rial Rounded MT Bold" panose="020F0704030504030204" pitchFamily="34" charset="0"/>
            </a:rPr>
            <a:t>SUPERMARKET GROUP</a:t>
          </a:r>
        </a:p>
      </xdr:txBody>
    </xdr:sp>
    <xdr:clientData/>
  </xdr:twoCellAnchor>
  <xdr:twoCellAnchor>
    <xdr:from>
      <xdr:col>3</xdr:col>
      <xdr:colOff>215081</xdr:colOff>
      <xdr:row>0</xdr:row>
      <xdr:rowOff>148770</xdr:rowOff>
    </xdr:from>
    <xdr:to>
      <xdr:col>4</xdr:col>
      <xdr:colOff>409678</xdr:colOff>
      <xdr:row>3</xdr:row>
      <xdr:rowOff>179496</xdr:rowOff>
    </xdr:to>
    <xdr:sp macro="" textlink="">
      <xdr:nvSpPr>
        <xdr:cNvPr id="25" name="Rectangle 24">
          <a:extLst>
            <a:ext uri="{FF2B5EF4-FFF2-40B4-BE49-F238E27FC236}">
              <a16:creationId xmlns:a16="http://schemas.microsoft.com/office/drawing/2014/main" id="{248A40B4-BA2C-34FC-2317-098F3C845DBB}"/>
            </a:ext>
          </a:extLst>
        </xdr:cNvPr>
        <xdr:cNvSpPr/>
      </xdr:nvSpPr>
      <xdr:spPr>
        <a:xfrm>
          <a:off x="2488791" y="148770"/>
          <a:ext cx="952500" cy="614516"/>
        </a:xfrm>
        <a:prstGeom prst="rect">
          <a:avLst/>
        </a:prstGeom>
        <a:blipFill dpi="0" rotWithShape="1">
          <a:blip xmlns:r="http://schemas.openxmlformats.org/officeDocument/2006/relationships" r:embed="rId7">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4.823657870373" createdVersion="8" refreshedVersion="8" minRefreshableVersion="3" recordCount="1000" xr:uid="{994A0483-E110-4101-905A-FCA05D35EA85}">
  <cacheSource type="worksheet">
    <worksheetSource name="supermarket_sales_new"/>
  </cacheSource>
  <cacheFields count="10">
    <cacheField name="Gender" numFmtId="0">
      <sharedItems count="2">
        <s v="Female"/>
        <s v="Male"/>
      </sharedItems>
    </cacheField>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Product line" numFmtId="0">
      <sharedItems count="6">
        <s v="Health and beauty"/>
        <s v="Electronic accessories"/>
        <s v="Home and lifestyle"/>
        <s v="Food and beverages"/>
        <s v="Fashion accessories"/>
        <s v="Sports and travel"/>
      </sharedItems>
    </cacheField>
    <cacheField name="Unit price" numFmtId="164">
      <sharedItems containsSemiMixedTypes="0" containsString="0" containsNumber="1" containsInteger="1" minValue="25" maxValue="9996"/>
    </cacheField>
    <cacheField name="Quantity" numFmtId="0">
      <sharedItems containsSemiMixedTypes="0" containsString="0" containsNumber="1" containsInteger="1" minValue="1" maxValue="10" count="10">
        <n v="7"/>
        <n v="5"/>
        <n v="6"/>
        <n v="10"/>
        <n v="2"/>
        <n v="3"/>
        <n v="4"/>
        <n v="8"/>
        <n v="1"/>
        <n v="9"/>
      </sharedItems>
    </cacheField>
    <cacheField name="Tax 5%" numFmtId="164">
      <sharedItems containsSemiMixedTypes="0" containsString="0" containsNumber="1" minValue="1.25" maxValue="4949"/>
    </cacheField>
    <cacheField name="Total" numFmtId="164">
      <sharedItems containsSemiMixedTypes="0" containsString="0" containsNumber="1" minValue="26.25" maxValue="103929"/>
    </cacheField>
  </cacheFields>
  <extLst>
    <ext xmlns:x14="http://schemas.microsoft.com/office/spreadsheetml/2009/9/main" uri="{725AE2AE-9491-48be-B2B4-4EB974FC3084}">
      <x14:pivotCacheDefinition pivotCacheId="472101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750-67-8428"/>
    <x v="0"/>
    <x v="0"/>
    <x v="0"/>
    <x v="0"/>
    <n v="7469"/>
    <x v="0"/>
    <n v="2614.15"/>
    <n v="54897.15"/>
  </r>
  <r>
    <x v="0"/>
    <s v="226-31-3081"/>
    <x v="1"/>
    <x v="1"/>
    <x v="1"/>
    <x v="1"/>
    <n v="1528"/>
    <x v="1"/>
    <n v="382"/>
    <n v="8022"/>
  </r>
  <r>
    <x v="0"/>
    <s v="355-53-5943"/>
    <x v="0"/>
    <x v="0"/>
    <x v="0"/>
    <x v="1"/>
    <n v="6884"/>
    <x v="2"/>
    <n v="2065.2000000000003"/>
    <n v="43369.2"/>
  </r>
  <r>
    <x v="0"/>
    <s v="315-22-5665"/>
    <x v="1"/>
    <x v="1"/>
    <x v="1"/>
    <x v="2"/>
    <n v="7356"/>
    <x v="3"/>
    <n v="3678"/>
    <n v="77238"/>
  </r>
  <r>
    <x v="0"/>
    <s v="665-32-9167"/>
    <x v="0"/>
    <x v="0"/>
    <x v="0"/>
    <x v="0"/>
    <n v="3626"/>
    <x v="4"/>
    <n v="362.6"/>
    <n v="7614.6"/>
  </r>
  <r>
    <x v="0"/>
    <s v="692-92-5582"/>
    <x v="2"/>
    <x v="2"/>
    <x v="0"/>
    <x v="3"/>
    <n v="5484"/>
    <x v="5"/>
    <n v="822.6"/>
    <n v="17274.599999999999"/>
  </r>
  <r>
    <x v="0"/>
    <s v="351-62-0822"/>
    <x v="2"/>
    <x v="2"/>
    <x v="0"/>
    <x v="4"/>
    <n v="1448"/>
    <x v="6"/>
    <n v="289.60000000000002"/>
    <n v="6081.6"/>
  </r>
  <r>
    <x v="0"/>
    <s v="365-64-0515"/>
    <x v="0"/>
    <x v="0"/>
    <x v="1"/>
    <x v="1"/>
    <n v="4695"/>
    <x v="1"/>
    <n v="1173.75"/>
    <n v="24648.75"/>
  </r>
  <r>
    <x v="0"/>
    <s v="829-34-3910"/>
    <x v="0"/>
    <x v="0"/>
    <x v="1"/>
    <x v="0"/>
    <n v="7138"/>
    <x v="3"/>
    <n v="3569"/>
    <n v="74949"/>
  </r>
  <r>
    <x v="0"/>
    <s v="299-46-1805"/>
    <x v="2"/>
    <x v="2"/>
    <x v="0"/>
    <x v="5"/>
    <n v="9372"/>
    <x v="2"/>
    <n v="2811.6000000000004"/>
    <n v="59043.6"/>
  </r>
  <r>
    <x v="0"/>
    <s v="656-95-9349"/>
    <x v="0"/>
    <x v="0"/>
    <x v="0"/>
    <x v="0"/>
    <n v="6893"/>
    <x v="0"/>
    <n v="2412.5500000000002"/>
    <n v="50663.55"/>
  </r>
  <r>
    <x v="0"/>
    <s v="319-50-3348"/>
    <x v="2"/>
    <x v="2"/>
    <x v="1"/>
    <x v="2"/>
    <n v="403"/>
    <x v="4"/>
    <n v="40.300000000000004"/>
    <n v="846.3"/>
  </r>
  <r>
    <x v="0"/>
    <s v="227-03-5010"/>
    <x v="0"/>
    <x v="0"/>
    <x v="0"/>
    <x v="2"/>
    <n v="5259"/>
    <x v="7"/>
    <n v="2103.6"/>
    <n v="44175.6"/>
  </r>
  <r>
    <x v="0"/>
    <s v="189-17-4241"/>
    <x v="0"/>
    <x v="0"/>
    <x v="1"/>
    <x v="4"/>
    <n v="8767"/>
    <x v="4"/>
    <n v="876.7"/>
    <n v="18410.7"/>
  </r>
  <r>
    <x v="0"/>
    <s v="145-94-9061"/>
    <x v="2"/>
    <x v="2"/>
    <x v="1"/>
    <x v="3"/>
    <n v="8836"/>
    <x v="1"/>
    <n v="2209"/>
    <n v="46389"/>
  </r>
  <r>
    <x v="0"/>
    <s v="183-56-6882"/>
    <x v="1"/>
    <x v="1"/>
    <x v="0"/>
    <x v="3"/>
    <n v="9942"/>
    <x v="6"/>
    <n v="1988.4"/>
    <n v="41756.400000000001"/>
  </r>
  <r>
    <x v="0"/>
    <s v="232-16-2483"/>
    <x v="1"/>
    <x v="1"/>
    <x v="0"/>
    <x v="5"/>
    <n v="6812"/>
    <x v="8"/>
    <n v="340.6"/>
    <n v="7152.6"/>
  </r>
  <r>
    <x v="0"/>
    <s v="272-65-1806"/>
    <x v="0"/>
    <x v="0"/>
    <x v="1"/>
    <x v="1"/>
    <n v="6088"/>
    <x v="9"/>
    <n v="2739.6000000000004"/>
    <n v="57531.6"/>
  </r>
  <r>
    <x v="0"/>
    <s v="333-73-7901"/>
    <x v="1"/>
    <x v="1"/>
    <x v="1"/>
    <x v="0"/>
    <n v="5492"/>
    <x v="7"/>
    <n v="2196.8000000000002"/>
    <n v="46132.800000000003"/>
  </r>
  <r>
    <x v="0"/>
    <s v="280-35-5823"/>
    <x v="2"/>
    <x v="2"/>
    <x v="0"/>
    <x v="2"/>
    <n v="8672"/>
    <x v="8"/>
    <n v="433.6"/>
    <n v="9105.6"/>
  </r>
  <r>
    <x v="0"/>
    <s v="354-25-5821"/>
    <x v="2"/>
    <x v="2"/>
    <x v="0"/>
    <x v="5"/>
    <n v="6912"/>
    <x v="2"/>
    <n v="2073.6"/>
    <n v="43545.599999999999"/>
  </r>
  <r>
    <x v="0"/>
    <s v="228-96-1411"/>
    <x v="1"/>
    <x v="1"/>
    <x v="0"/>
    <x v="3"/>
    <n v="987"/>
    <x v="7"/>
    <n v="394.8"/>
    <n v="8290.7999999999993"/>
  </r>
  <r>
    <x v="0"/>
    <s v="132-32-9879"/>
    <x v="2"/>
    <x v="2"/>
    <x v="0"/>
    <x v="1"/>
    <n v="9396"/>
    <x v="6"/>
    <n v="1879.2"/>
    <n v="39463.199999999997"/>
  </r>
  <r>
    <x v="0"/>
    <s v="727-46-3608"/>
    <x v="2"/>
    <x v="2"/>
    <x v="0"/>
    <x v="3"/>
    <n v="2001"/>
    <x v="9"/>
    <n v="900.45"/>
    <n v="18909.45"/>
  </r>
  <r>
    <x v="0"/>
    <s v="574-22-5561"/>
    <x v="1"/>
    <x v="1"/>
    <x v="0"/>
    <x v="4"/>
    <n v="8263"/>
    <x v="3"/>
    <n v="4131.5"/>
    <n v="86761.5"/>
  </r>
  <r>
    <x v="0"/>
    <s v="162-48-8011"/>
    <x v="0"/>
    <x v="0"/>
    <x v="0"/>
    <x v="3"/>
    <n v="4459"/>
    <x v="1"/>
    <n v="1114.75"/>
    <n v="23409.75"/>
  </r>
  <r>
    <x v="0"/>
    <s v="616-24-2851"/>
    <x v="2"/>
    <x v="2"/>
    <x v="0"/>
    <x v="4"/>
    <n v="1787"/>
    <x v="6"/>
    <n v="357.40000000000003"/>
    <n v="7505.4"/>
  </r>
  <r>
    <x v="0"/>
    <s v="399-46-5918"/>
    <x v="1"/>
    <x v="1"/>
    <x v="1"/>
    <x v="1"/>
    <n v="8598"/>
    <x v="7"/>
    <n v="3439.2000000000003"/>
    <n v="72223.199999999997"/>
  </r>
  <r>
    <x v="0"/>
    <s v="817-48-8732"/>
    <x v="0"/>
    <x v="0"/>
    <x v="0"/>
    <x v="2"/>
    <n v="7235"/>
    <x v="3"/>
    <n v="3617.5"/>
    <n v="75967.5"/>
  </r>
  <r>
    <x v="0"/>
    <s v="285-68-5083"/>
    <x v="1"/>
    <x v="1"/>
    <x v="0"/>
    <x v="5"/>
    <n v="2474"/>
    <x v="5"/>
    <n v="371.1"/>
    <n v="7793.1"/>
  </r>
  <r>
    <x v="0"/>
    <s v="347-34-2234"/>
    <x v="2"/>
    <x v="2"/>
    <x v="0"/>
    <x v="5"/>
    <n v="5507"/>
    <x v="9"/>
    <n v="2478.15"/>
    <n v="52041.15"/>
  </r>
  <r>
    <x v="0"/>
    <s v="838-78-4295"/>
    <x v="1"/>
    <x v="1"/>
    <x v="1"/>
    <x v="0"/>
    <n v="3347"/>
    <x v="4"/>
    <n v="334.70000000000005"/>
    <n v="7028.7"/>
  </r>
  <r>
    <x v="0"/>
    <s v="109-28-2512"/>
    <x v="2"/>
    <x v="2"/>
    <x v="0"/>
    <x v="4"/>
    <n v="9761"/>
    <x v="2"/>
    <n v="2928.3"/>
    <n v="61494.3"/>
  </r>
  <r>
    <x v="0"/>
    <s v="382-03-4532"/>
    <x v="0"/>
    <x v="0"/>
    <x v="0"/>
    <x v="0"/>
    <n v="1833"/>
    <x v="8"/>
    <n v="91.65"/>
    <n v="1924.65"/>
  </r>
  <r>
    <x v="0"/>
    <s v="510-95-6347"/>
    <x v="2"/>
    <x v="2"/>
    <x v="0"/>
    <x v="3"/>
    <n v="4852"/>
    <x v="5"/>
    <n v="727.80000000000007"/>
    <n v="15283.8"/>
  </r>
  <r>
    <x v="0"/>
    <s v="841-35-6630"/>
    <x v="1"/>
    <x v="1"/>
    <x v="1"/>
    <x v="1"/>
    <n v="7591"/>
    <x v="2"/>
    <n v="2277.3000000000002"/>
    <n v="47823.3"/>
  </r>
  <r>
    <x v="0"/>
    <s v="732-94-0499"/>
    <x v="1"/>
    <x v="1"/>
    <x v="1"/>
    <x v="1"/>
    <n v="4165"/>
    <x v="3"/>
    <n v="2082.5"/>
    <n v="43732.5"/>
  </r>
  <r>
    <x v="0"/>
    <s v="381-20-0914"/>
    <x v="0"/>
    <x v="0"/>
    <x v="0"/>
    <x v="4"/>
    <n v="2001"/>
    <x v="9"/>
    <n v="900.45"/>
    <n v="18909.45"/>
  </r>
  <r>
    <x v="0"/>
    <s v="829-49-1914"/>
    <x v="1"/>
    <x v="1"/>
    <x v="0"/>
    <x v="3"/>
    <n v="7831"/>
    <x v="3"/>
    <n v="3915.5"/>
    <n v="82225.5"/>
  </r>
  <r>
    <x v="0"/>
    <s v="756-01-7507"/>
    <x v="1"/>
    <x v="1"/>
    <x v="1"/>
    <x v="0"/>
    <n v="2038"/>
    <x v="1"/>
    <n v="509.5"/>
    <n v="10699.5"/>
  </r>
  <r>
    <x v="0"/>
    <s v="870-72-4431"/>
    <x v="1"/>
    <x v="1"/>
    <x v="1"/>
    <x v="0"/>
    <n v="9919"/>
    <x v="2"/>
    <n v="2975.7000000000003"/>
    <n v="62489.7"/>
  </r>
  <r>
    <x v="0"/>
    <s v="847-38-7188"/>
    <x v="2"/>
    <x v="2"/>
    <x v="1"/>
    <x v="3"/>
    <n v="9668"/>
    <x v="5"/>
    <n v="1450.2"/>
    <n v="30454.2"/>
  </r>
  <r>
    <x v="0"/>
    <s v="787-56-0757"/>
    <x v="1"/>
    <x v="1"/>
    <x v="0"/>
    <x v="3"/>
    <n v="8036"/>
    <x v="6"/>
    <n v="1607.2"/>
    <n v="33751.199999999997"/>
  </r>
  <r>
    <x v="0"/>
    <s v="730-50-9884"/>
    <x v="1"/>
    <x v="1"/>
    <x v="1"/>
    <x v="5"/>
    <n v="8306"/>
    <x v="0"/>
    <n v="2907.1000000000004"/>
    <n v="61049.1"/>
  </r>
  <r>
    <x v="0"/>
    <s v="318-68-5053"/>
    <x v="2"/>
    <x v="2"/>
    <x v="1"/>
    <x v="0"/>
    <n v="7699"/>
    <x v="2"/>
    <n v="2309.7000000000003"/>
    <n v="48503.7"/>
  </r>
  <r>
    <x v="0"/>
    <s v="565-80-5980"/>
    <x v="1"/>
    <x v="1"/>
    <x v="0"/>
    <x v="2"/>
    <n v="4738"/>
    <x v="6"/>
    <n v="947.6"/>
    <n v="19899.599999999999"/>
  </r>
  <r>
    <x v="0"/>
    <s v="225-32-0908"/>
    <x v="1"/>
    <x v="1"/>
    <x v="1"/>
    <x v="5"/>
    <n v="4486"/>
    <x v="3"/>
    <n v="2243"/>
    <n v="47103"/>
  </r>
  <r>
    <x v="0"/>
    <s v="873-51-0671"/>
    <x v="0"/>
    <x v="0"/>
    <x v="0"/>
    <x v="5"/>
    <n v="2198"/>
    <x v="0"/>
    <n v="769.30000000000007"/>
    <n v="16155.3"/>
  </r>
  <r>
    <x v="0"/>
    <s v="871-39-9221"/>
    <x v="1"/>
    <x v="1"/>
    <x v="1"/>
    <x v="1"/>
    <n v="1245"/>
    <x v="2"/>
    <n v="373.5"/>
    <n v="7843.5"/>
  </r>
  <r>
    <x v="0"/>
    <s v="551-21-3069"/>
    <x v="1"/>
    <x v="1"/>
    <x v="1"/>
    <x v="1"/>
    <n v="2307"/>
    <x v="9"/>
    <n v="1038.1500000000001"/>
    <n v="21801.15"/>
  </r>
  <r>
    <x v="0"/>
    <s v="588-01-7461"/>
    <x v="1"/>
    <x v="1"/>
    <x v="1"/>
    <x v="3"/>
    <n v="3398"/>
    <x v="9"/>
    <n v="1529.1000000000001"/>
    <n v="32111.1"/>
  </r>
  <r>
    <x v="0"/>
    <s v="479-26-8945"/>
    <x v="2"/>
    <x v="2"/>
    <x v="0"/>
    <x v="5"/>
    <n v="1649"/>
    <x v="4"/>
    <n v="164.9"/>
    <n v="3462.9"/>
  </r>
  <r>
    <x v="0"/>
    <s v="210-67-5886"/>
    <x v="1"/>
    <x v="1"/>
    <x v="0"/>
    <x v="0"/>
    <n v="9821"/>
    <x v="5"/>
    <n v="1473.15"/>
    <n v="30936.15"/>
  </r>
  <r>
    <x v="0"/>
    <s v="227-78-1148"/>
    <x v="2"/>
    <x v="2"/>
    <x v="1"/>
    <x v="4"/>
    <n v="7284"/>
    <x v="0"/>
    <n v="2549.4"/>
    <n v="53537.4"/>
  </r>
  <r>
    <x v="0"/>
    <s v="237-01-6122"/>
    <x v="1"/>
    <x v="1"/>
    <x v="0"/>
    <x v="2"/>
    <n v="8079"/>
    <x v="9"/>
    <n v="3635.55"/>
    <n v="76346.55"/>
  </r>
  <r>
    <x v="0"/>
    <s v="225-98-1496"/>
    <x v="1"/>
    <x v="1"/>
    <x v="1"/>
    <x v="4"/>
    <n v="2702"/>
    <x v="5"/>
    <n v="405.3"/>
    <n v="8511.2999999999993"/>
  </r>
  <r>
    <x v="0"/>
    <s v="642-32-2990"/>
    <x v="0"/>
    <x v="0"/>
    <x v="1"/>
    <x v="3"/>
    <n v="1096"/>
    <x v="3"/>
    <n v="548"/>
    <n v="11508"/>
  </r>
  <r>
    <x v="0"/>
    <s v="638-60-7125"/>
    <x v="0"/>
    <x v="0"/>
    <x v="1"/>
    <x v="1"/>
    <n v="9956"/>
    <x v="7"/>
    <n v="3982.4"/>
    <n v="83630.399999999994"/>
  </r>
  <r>
    <x v="0"/>
    <s v="268-27-6179"/>
    <x v="2"/>
    <x v="2"/>
    <x v="0"/>
    <x v="4"/>
    <n v="5647"/>
    <x v="7"/>
    <n v="2258.8000000000002"/>
    <n v="47434.8"/>
  </r>
  <r>
    <x v="0"/>
    <s v="668-90-8900"/>
    <x v="0"/>
    <x v="0"/>
    <x v="1"/>
    <x v="2"/>
    <n v="9369"/>
    <x v="0"/>
    <n v="3279.15"/>
    <n v="68862.149999999994"/>
  </r>
  <r>
    <x v="0"/>
    <s v="870-54-3162"/>
    <x v="0"/>
    <x v="0"/>
    <x v="1"/>
    <x v="5"/>
    <n v="3225"/>
    <x v="1"/>
    <n v="806.25"/>
    <n v="16931.25"/>
  </r>
  <r>
    <x v="0"/>
    <s v="189-08-9157"/>
    <x v="1"/>
    <x v="1"/>
    <x v="1"/>
    <x v="4"/>
    <n v="3173"/>
    <x v="9"/>
    <n v="1427.8500000000001"/>
    <n v="29984.85"/>
  </r>
  <r>
    <x v="0"/>
    <s v="663-86-9076"/>
    <x v="1"/>
    <x v="1"/>
    <x v="0"/>
    <x v="3"/>
    <n v="6854"/>
    <x v="7"/>
    <n v="2741.6000000000004"/>
    <n v="57573.599999999999"/>
  </r>
  <r>
    <x v="0"/>
    <s v="549-84-7482"/>
    <x v="2"/>
    <x v="2"/>
    <x v="1"/>
    <x v="5"/>
    <n v="9028"/>
    <x v="9"/>
    <n v="4062.6000000000004"/>
    <n v="85314.6"/>
  </r>
  <r>
    <x v="0"/>
    <s v="191-10-6171"/>
    <x v="2"/>
    <x v="2"/>
    <x v="1"/>
    <x v="4"/>
    <n v="3962"/>
    <x v="0"/>
    <n v="1386.7"/>
    <n v="29120.7"/>
  </r>
  <r>
    <x v="0"/>
    <s v="802-70-5316"/>
    <x v="0"/>
    <x v="0"/>
    <x v="0"/>
    <x v="5"/>
    <n v="9213"/>
    <x v="2"/>
    <n v="2763.9"/>
    <n v="58041.9"/>
  </r>
  <r>
    <x v="0"/>
    <s v="695-51-0018"/>
    <x v="2"/>
    <x v="2"/>
    <x v="1"/>
    <x v="5"/>
    <n v="3484"/>
    <x v="6"/>
    <n v="696.80000000000007"/>
    <n v="14632.8"/>
  </r>
  <r>
    <x v="0"/>
    <s v="483-71-1164"/>
    <x v="1"/>
    <x v="1"/>
    <x v="1"/>
    <x v="0"/>
    <n v="813"/>
    <x v="2"/>
    <n v="243.9"/>
    <n v="5121.8999999999996"/>
  </r>
  <r>
    <x v="0"/>
    <s v="700-81-1757"/>
    <x v="0"/>
    <x v="0"/>
    <x v="1"/>
    <x v="1"/>
    <n v="2631"/>
    <x v="1"/>
    <n v="657.75"/>
    <n v="13812.75"/>
  </r>
  <r>
    <x v="0"/>
    <s v="354-39-5160"/>
    <x v="0"/>
    <x v="0"/>
    <x v="0"/>
    <x v="2"/>
    <n v="3442"/>
    <x v="2"/>
    <n v="1032.6000000000001"/>
    <n v="21684.6"/>
  </r>
  <r>
    <x v="0"/>
    <s v="731-81-9469"/>
    <x v="1"/>
    <x v="1"/>
    <x v="0"/>
    <x v="5"/>
    <n v="898"/>
    <x v="3"/>
    <n v="449"/>
    <n v="9429"/>
  </r>
  <r>
    <x v="0"/>
    <s v="338-65-2210"/>
    <x v="1"/>
    <x v="1"/>
    <x v="0"/>
    <x v="0"/>
    <n v="686"/>
    <x v="3"/>
    <n v="343"/>
    <n v="7203"/>
  </r>
  <r>
    <x v="0"/>
    <s v="488-25-4221"/>
    <x v="1"/>
    <x v="1"/>
    <x v="0"/>
    <x v="3"/>
    <n v="3041"/>
    <x v="8"/>
    <n v="152.05000000000001"/>
    <n v="3193.05"/>
  </r>
  <r>
    <x v="0"/>
    <s v="239-10-7476"/>
    <x v="0"/>
    <x v="0"/>
    <x v="1"/>
    <x v="2"/>
    <n v="7795"/>
    <x v="2"/>
    <n v="2338.5"/>
    <n v="49108.5"/>
  </r>
  <r>
    <x v="0"/>
    <s v="458-41-1477"/>
    <x v="1"/>
    <x v="1"/>
    <x v="1"/>
    <x v="0"/>
    <n v="4626"/>
    <x v="2"/>
    <n v="1387.8000000000002"/>
    <n v="29143.8"/>
  </r>
  <r>
    <x v="0"/>
    <s v="685-64-1609"/>
    <x v="0"/>
    <x v="0"/>
    <x v="0"/>
    <x v="4"/>
    <n v="3014"/>
    <x v="3"/>
    <n v="1507"/>
    <n v="31647"/>
  </r>
  <r>
    <x v="0"/>
    <s v="608-96-3517"/>
    <x v="2"/>
    <x v="2"/>
    <x v="0"/>
    <x v="4"/>
    <n v="9154"/>
    <x v="6"/>
    <n v="1830.8000000000002"/>
    <n v="38446.800000000003"/>
  </r>
  <r>
    <x v="0"/>
    <s v="214-17-6927"/>
    <x v="1"/>
    <x v="1"/>
    <x v="1"/>
    <x v="3"/>
    <n v="1648"/>
    <x v="2"/>
    <n v="494.40000000000003"/>
    <n v="10382.4"/>
  </r>
  <r>
    <x v="0"/>
    <s v="400-89-4171"/>
    <x v="1"/>
    <x v="1"/>
    <x v="1"/>
    <x v="5"/>
    <n v="8097"/>
    <x v="7"/>
    <n v="3238.8"/>
    <n v="68014.8"/>
  </r>
  <r>
    <x v="0"/>
    <s v="894-41-5205"/>
    <x v="1"/>
    <x v="1"/>
    <x v="1"/>
    <x v="3"/>
    <n v="4318"/>
    <x v="7"/>
    <n v="1727.2"/>
    <n v="36271.199999999997"/>
  </r>
  <r>
    <x v="0"/>
    <s v="139-52-2867"/>
    <x v="1"/>
    <x v="1"/>
    <x v="1"/>
    <x v="4"/>
    <n v="2251"/>
    <x v="0"/>
    <n v="787.85"/>
    <n v="16544.849999999999"/>
  </r>
  <r>
    <x v="0"/>
    <s v="586-25-0848"/>
    <x v="0"/>
    <x v="0"/>
    <x v="1"/>
    <x v="5"/>
    <n v="1234"/>
    <x v="0"/>
    <n v="431.90000000000003"/>
    <n v="9069.9"/>
  </r>
  <r>
    <x v="0"/>
    <s v="305-14-0245"/>
    <x v="2"/>
    <x v="2"/>
    <x v="0"/>
    <x v="2"/>
    <n v="9449"/>
    <x v="7"/>
    <n v="3779.6000000000004"/>
    <n v="79371.600000000006"/>
  </r>
  <r>
    <x v="0"/>
    <s v="593-65-1552"/>
    <x v="1"/>
    <x v="1"/>
    <x v="1"/>
    <x v="2"/>
    <n v="6981"/>
    <x v="6"/>
    <n v="1396.2"/>
    <n v="29320.2"/>
  </r>
  <r>
    <x v="0"/>
    <s v="284-34-9626"/>
    <x v="2"/>
    <x v="2"/>
    <x v="1"/>
    <x v="2"/>
    <n v="7704"/>
    <x v="5"/>
    <n v="1155.6000000000001"/>
    <n v="24267.599999999999"/>
  </r>
  <r>
    <x v="0"/>
    <s v="437-58-8131"/>
    <x v="2"/>
    <x v="2"/>
    <x v="1"/>
    <x v="4"/>
    <n v="7352"/>
    <x v="4"/>
    <n v="735.2"/>
    <n v="15439.2"/>
  </r>
  <r>
    <x v="0"/>
    <s v="286-43-6208"/>
    <x v="1"/>
    <x v="1"/>
    <x v="1"/>
    <x v="3"/>
    <n v="878"/>
    <x v="9"/>
    <n v="395.1"/>
    <n v="8297.1"/>
  </r>
  <r>
    <x v="0"/>
    <s v="556-86-3144"/>
    <x v="1"/>
    <x v="1"/>
    <x v="0"/>
    <x v="4"/>
    <n v="7429"/>
    <x v="8"/>
    <n v="371.45000000000005"/>
    <n v="7800.45"/>
  </r>
  <r>
    <x v="0"/>
    <s v="856-22-8149"/>
    <x v="0"/>
    <x v="0"/>
    <x v="1"/>
    <x v="2"/>
    <n v="2529"/>
    <x v="8"/>
    <n v="126.45"/>
    <n v="2655.45"/>
  </r>
  <r>
    <x v="0"/>
    <s v="420-11-4919"/>
    <x v="1"/>
    <x v="1"/>
    <x v="0"/>
    <x v="3"/>
    <n v="7139"/>
    <x v="1"/>
    <n v="1784.75"/>
    <n v="37479.75"/>
  </r>
  <r>
    <x v="0"/>
    <s v="606-80-4905"/>
    <x v="1"/>
    <x v="1"/>
    <x v="0"/>
    <x v="5"/>
    <n v="1915"/>
    <x v="2"/>
    <n v="574.5"/>
    <n v="12064.5"/>
  </r>
  <r>
    <x v="0"/>
    <s v="542-41-0513"/>
    <x v="2"/>
    <x v="2"/>
    <x v="0"/>
    <x v="1"/>
    <n v="5749"/>
    <x v="6"/>
    <n v="1149.8"/>
    <n v="24145.8"/>
  </r>
  <r>
    <x v="0"/>
    <s v="749-24-1565"/>
    <x v="0"/>
    <x v="0"/>
    <x v="1"/>
    <x v="0"/>
    <n v="2303"/>
    <x v="9"/>
    <n v="1036.3500000000001"/>
    <n v="21763.35"/>
  </r>
  <r>
    <x v="0"/>
    <s v="672-51-8681"/>
    <x v="1"/>
    <x v="1"/>
    <x v="0"/>
    <x v="1"/>
    <n v="6665"/>
    <x v="9"/>
    <n v="2999.25"/>
    <n v="62984.25"/>
  </r>
  <r>
    <x v="0"/>
    <s v="263-87-5680"/>
    <x v="1"/>
    <x v="1"/>
    <x v="0"/>
    <x v="2"/>
    <n v="2853"/>
    <x v="3"/>
    <n v="1426.5"/>
    <n v="29956.5"/>
  </r>
  <r>
    <x v="0"/>
    <s v="573-58-9734"/>
    <x v="2"/>
    <x v="2"/>
    <x v="1"/>
    <x v="4"/>
    <n v="3037"/>
    <x v="5"/>
    <n v="455.55"/>
    <n v="9566.5499999999993"/>
  </r>
  <r>
    <x v="0"/>
    <s v="817-69-8206"/>
    <x v="2"/>
    <x v="2"/>
    <x v="1"/>
    <x v="1"/>
    <n v="9973"/>
    <x v="9"/>
    <n v="4487.8500000000004"/>
    <n v="94244.85"/>
  </r>
  <r>
    <x v="0"/>
    <s v="677-11-0152"/>
    <x v="1"/>
    <x v="1"/>
    <x v="1"/>
    <x v="3"/>
    <n v="9326"/>
    <x v="9"/>
    <n v="4196.7"/>
    <n v="88130.7"/>
  </r>
  <r>
    <x v="0"/>
    <s v="891-58-8335"/>
    <x v="2"/>
    <x v="2"/>
    <x v="0"/>
    <x v="5"/>
    <n v="2961"/>
    <x v="0"/>
    <n v="1036.3500000000001"/>
    <n v="21763.35"/>
  </r>
  <r>
    <x v="0"/>
    <s v="560-30-5617"/>
    <x v="2"/>
    <x v="2"/>
    <x v="1"/>
    <x v="5"/>
    <n v="2477"/>
    <x v="1"/>
    <n v="619.25"/>
    <n v="13004.25"/>
  </r>
  <r>
    <x v="0"/>
    <s v="319-74-2561"/>
    <x v="0"/>
    <x v="0"/>
    <x v="0"/>
    <x v="1"/>
    <n v="9464"/>
    <x v="5"/>
    <n v="1419.6000000000001"/>
    <n v="29811.599999999999"/>
  </r>
  <r>
    <x v="0"/>
    <s v="790-29-1172"/>
    <x v="2"/>
    <x v="2"/>
    <x v="1"/>
    <x v="3"/>
    <n v="5734"/>
    <x v="5"/>
    <n v="860.1"/>
    <n v="18062.099999999999"/>
  </r>
  <r>
    <x v="0"/>
    <s v="279-62-1445"/>
    <x v="1"/>
    <x v="1"/>
    <x v="0"/>
    <x v="4"/>
    <n v="1254"/>
    <x v="8"/>
    <n v="62.7"/>
    <n v="1316.7"/>
  </r>
  <r>
    <x v="0"/>
    <s v="746-68-6593"/>
    <x v="1"/>
    <x v="1"/>
    <x v="0"/>
    <x v="5"/>
    <n v="8716"/>
    <x v="4"/>
    <n v="871.6"/>
    <n v="18303.599999999999"/>
  </r>
  <r>
    <x v="0"/>
    <s v="466-61-5506"/>
    <x v="2"/>
    <x v="2"/>
    <x v="0"/>
    <x v="1"/>
    <n v="907"/>
    <x v="2"/>
    <n v="272.10000000000002"/>
    <n v="5714.1"/>
  </r>
  <r>
    <x v="0"/>
    <s v="721-86-6247"/>
    <x v="0"/>
    <x v="0"/>
    <x v="1"/>
    <x v="2"/>
    <n v="6342"/>
    <x v="7"/>
    <n v="2536.8000000000002"/>
    <n v="53272.800000000003"/>
  </r>
  <r>
    <x v="0"/>
    <s v="289-65-5721"/>
    <x v="2"/>
    <x v="2"/>
    <x v="1"/>
    <x v="4"/>
    <n v="8137"/>
    <x v="4"/>
    <n v="813.7"/>
    <n v="17087.7"/>
  </r>
  <r>
    <x v="0"/>
    <s v="545-46-3100"/>
    <x v="2"/>
    <x v="2"/>
    <x v="0"/>
    <x v="1"/>
    <n v="1059"/>
    <x v="5"/>
    <n v="158.85000000000002"/>
    <n v="3335.85"/>
  </r>
  <r>
    <x v="0"/>
    <s v="418-02-5978"/>
    <x v="2"/>
    <x v="2"/>
    <x v="1"/>
    <x v="0"/>
    <n v="8409"/>
    <x v="9"/>
    <n v="3784.05"/>
    <n v="79465.05"/>
  </r>
  <r>
    <x v="0"/>
    <s v="645-78-8093"/>
    <x v="0"/>
    <x v="0"/>
    <x v="1"/>
    <x v="5"/>
    <n v="9314"/>
    <x v="4"/>
    <n v="931.40000000000009"/>
    <n v="19559.400000000001"/>
  </r>
  <r>
    <x v="0"/>
    <s v="755-12-3214"/>
    <x v="1"/>
    <x v="1"/>
    <x v="0"/>
    <x v="4"/>
    <n v="4422"/>
    <x v="1"/>
    <n v="1105.5"/>
    <n v="23215.5"/>
  </r>
  <r>
    <x v="0"/>
    <s v="346-84-3103"/>
    <x v="2"/>
    <x v="2"/>
    <x v="0"/>
    <x v="1"/>
    <n v="1322"/>
    <x v="1"/>
    <n v="330.5"/>
    <n v="6940.5"/>
  </r>
  <r>
    <x v="0"/>
    <s v="866-05-7563"/>
    <x v="2"/>
    <x v="2"/>
    <x v="0"/>
    <x v="1"/>
    <n v="814"/>
    <x v="5"/>
    <n v="122.10000000000001"/>
    <n v="2564.1"/>
  </r>
  <r>
    <x v="0"/>
    <s v="883-17-4236"/>
    <x v="1"/>
    <x v="1"/>
    <x v="1"/>
    <x v="5"/>
    <n v="1439"/>
    <x v="4"/>
    <n v="143.9"/>
    <n v="3021.9"/>
  </r>
  <r>
    <x v="0"/>
    <s v="850-41-9669"/>
    <x v="0"/>
    <x v="0"/>
    <x v="1"/>
    <x v="1"/>
    <n v="7506"/>
    <x v="9"/>
    <n v="3377.7000000000003"/>
    <n v="70931.7"/>
  </r>
  <r>
    <x v="0"/>
    <s v="821-07-3596"/>
    <x v="1"/>
    <x v="1"/>
    <x v="1"/>
    <x v="4"/>
    <n v="1645"/>
    <x v="6"/>
    <n v="329"/>
    <n v="6909"/>
  </r>
  <r>
    <x v="0"/>
    <s v="655-85-5130"/>
    <x v="2"/>
    <x v="2"/>
    <x v="0"/>
    <x v="4"/>
    <n v="383"/>
    <x v="6"/>
    <n v="76.600000000000009"/>
    <n v="1608.6"/>
  </r>
  <r>
    <x v="0"/>
    <s v="447-15-7839"/>
    <x v="0"/>
    <x v="0"/>
    <x v="0"/>
    <x v="5"/>
    <n v="2224"/>
    <x v="3"/>
    <n v="1112"/>
    <n v="23352"/>
  </r>
  <r>
    <x v="0"/>
    <s v="253-12-6086"/>
    <x v="0"/>
    <x v="0"/>
    <x v="0"/>
    <x v="5"/>
    <n v="984"/>
    <x v="0"/>
    <n v="344.40000000000003"/>
    <n v="7232.4"/>
  </r>
  <r>
    <x v="0"/>
    <s v="571-94-0759"/>
    <x v="2"/>
    <x v="2"/>
    <x v="0"/>
    <x v="3"/>
    <n v="746"/>
    <x v="3"/>
    <n v="373"/>
    <n v="7833"/>
  </r>
  <r>
    <x v="0"/>
    <s v="731-14-2199"/>
    <x v="0"/>
    <x v="0"/>
    <x v="0"/>
    <x v="2"/>
    <n v="3554"/>
    <x v="3"/>
    <n v="1777"/>
    <n v="37317"/>
  </r>
  <r>
    <x v="0"/>
    <s v="783-09-1637"/>
    <x v="2"/>
    <x v="2"/>
    <x v="1"/>
    <x v="5"/>
    <n v="6743"/>
    <x v="1"/>
    <n v="1685.75"/>
    <n v="35400.75"/>
  </r>
  <r>
    <x v="0"/>
    <s v="687-15-1097"/>
    <x v="1"/>
    <x v="1"/>
    <x v="0"/>
    <x v="0"/>
    <n v="2112"/>
    <x v="4"/>
    <n v="211.20000000000002"/>
    <n v="4435.2"/>
  </r>
  <r>
    <x v="0"/>
    <s v="126-54-1082"/>
    <x v="0"/>
    <x v="0"/>
    <x v="0"/>
    <x v="2"/>
    <n v="2154"/>
    <x v="9"/>
    <n v="969.30000000000007"/>
    <n v="20355.3"/>
  </r>
  <r>
    <x v="0"/>
    <s v="633-91-1052"/>
    <x v="0"/>
    <x v="0"/>
    <x v="1"/>
    <x v="2"/>
    <n v="1203"/>
    <x v="4"/>
    <n v="120.30000000000001"/>
    <n v="2526.3000000000002"/>
  </r>
  <r>
    <x v="0"/>
    <s v="477-24-6490"/>
    <x v="2"/>
    <x v="2"/>
    <x v="1"/>
    <x v="0"/>
    <n v="9971"/>
    <x v="2"/>
    <n v="2991.3"/>
    <n v="62817.3"/>
  </r>
  <r>
    <x v="0"/>
    <s v="526-86-8552"/>
    <x v="1"/>
    <x v="1"/>
    <x v="0"/>
    <x v="2"/>
    <n v="2182"/>
    <x v="3"/>
    <n v="1091"/>
    <n v="22911"/>
  </r>
  <r>
    <x v="0"/>
    <s v="376-56-3573"/>
    <x v="1"/>
    <x v="1"/>
    <x v="1"/>
    <x v="4"/>
    <n v="9542"/>
    <x v="6"/>
    <n v="1908.4"/>
    <n v="40076.400000000001"/>
  </r>
  <r>
    <x v="0"/>
    <s v="136-08-6195"/>
    <x v="0"/>
    <x v="0"/>
    <x v="1"/>
    <x v="2"/>
    <n v="6996"/>
    <x v="7"/>
    <n v="2798.4"/>
    <n v="58766.400000000001"/>
  </r>
  <r>
    <x v="0"/>
    <s v="490-29-1201"/>
    <x v="0"/>
    <x v="0"/>
    <x v="1"/>
    <x v="5"/>
    <n v="1534"/>
    <x v="8"/>
    <n v="76.7"/>
    <n v="1610.7"/>
  </r>
  <r>
    <x v="0"/>
    <s v="565-17-3836"/>
    <x v="0"/>
    <x v="0"/>
    <x v="0"/>
    <x v="0"/>
    <n v="4767"/>
    <x v="6"/>
    <n v="953.40000000000009"/>
    <n v="20021.400000000001"/>
  </r>
  <r>
    <x v="0"/>
    <s v="226-71-3580"/>
    <x v="1"/>
    <x v="1"/>
    <x v="1"/>
    <x v="5"/>
    <n v="2375"/>
    <x v="9"/>
    <n v="1068.75"/>
    <n v="22443.75"/>
  </r>
  <r>
    <x v="0"/>
    <s v="283-79-9594"/>
    <x v="2"/>
    <x v="2"/>
    <x v="1"/>
    <x v="3"/>
    <n v="4851"/>
    <x v="0"/>
    <n v="1697.8500000000001"/>
    <n v="35654.85"/>
  </r>
  <r>
    <x v="0"/>
    <s v="430-60-3493"/>
    <x v="0"/>
    <x v="0"/>
    <x v="0"/>
    <x v="2"/>
    <n v="9488"/>
    <x v="0"/>
    <n v="3320.8"/>
    <n v="69736.800000000003"/>
  </r>
  <r>
    <x v="0"/>
    <s v="278-97-7759"/>
    <x v="0"/>
    <x v="0"/>
    <x v="0"/>
    <x v="1"/>
    <n v="6248"/>
    <x v="8"/>
    <n v="312.40000000000003"/>
    <n v="6560.4"/>
  </r>
  <r>
    <x v="0"/>
    <s v="316-68-6352"/>
    <x v="0"/>
    <x v="0"/>
    <x v="0"/>
    <x v="3"/>
    <n v="3636"/>
    <x v="4"/>
    <n v="363.6"/>
    <n v="7635.6"/>
  </r>
  <r>
    <x v="0"/>
    <s v="211-05-0490"/>
    <x v="1"/>
    <x v="1"/>
    <x v="0"/>
    <x v="1"/>
    <n v="5192"/>
    <x v="1"/>
    <n v="1298"/>
    <n v="27258"/>
  </r>
  <r>
    <x v="0"/>
    <s v="779-06-0012"/>
    <x v="1"/>
    <x v="1"/>
    <x v="0"/>
    <x v="2"/>
    <n v="8861"/>
    <x v="8"/>
    <n v="443.05"/>
    <n v="9304.0499999999993"/>
  </r>
  <r>
    <x v="0"/>
    <s v="439-54-7422"/>
    <x v="0"/>
    <x v="0"/>
    <x v="1"/>
    <x v="1"/>
    <n v="5119"/>
    <x v="6"/>
    <n v="1023.8000000000001"/>
    <n v="21499.8"/>
  </r>
  <r>
    <x v="0"/>
    <s v="396-90-2219"/>
    <x v="2"/>
    <x v="2"/>
    <x v="1"/>
    <x v="1"/>
    <n v="1496"/>
    <x v="7"/>
    <n v="598.4"/>
    <n v="12566.4"/>
  </r>
  <r>
    <x v="0"/>
    <s v="286-01-5402"/>
    <x v="0"/>
    <x v="0"/>
    <x v="1"/>
    <x v="5"/>
    <n v="4023"/>
    <x v="0"/>
    <n v="1408.0500000000002"/>
    <n v="29569.05"/>
  </r>
  <r>
    <x v="0"/>
    <s v="803-17-8013"/>
    <x v="0"/>
    <x v="0"/>
    <x v="0"/>
    <x v="2"/>
    <n v="8879"/>
    <x v="7"/>
    <n v="3551.6000000000004"/>
    <n v="74583.600000000006"/>
  </r>
  <r>
    <x v="0"/>
    <s v="512-98-1403"/>
    <x v="0"/>
    <x v="0"/>
    <x v="0"/>
    <x v="1"/>
    <n v="2648"/>
    <x v="5"/>
    <n v="397.20000000000005"/>
    <n v="8341.2000000000007"/>
  </r>
  <r>
    <x v="0"/>
    <s v="848-42-2560"/>
    <x v="0"/>
    <x v="0"/>
    <x v="1"/>
    <x v="4"/>
    <n v="8191"/>
    <x v="4"/>
    <n v="819.1"/>
    <n v="17201.099999999999"/>
  </r>
  <r>
    <x v="0"/>
    <s v="870-76-1733"/>
    <x v="0"/>
    <x v="0"/>
    <x v="0"/>
    <x v="3"/>
    <n v="1423"/>
    <x v="1"/>
    <n v="355.75"/>
    <n v="7470.75"/>
  </r>
  <r>
    <x v="0"/>
    <s v="423-64-4619"/>
    <x v="0"/>
    <x v="0"/>
    <x v="0"/>
    <x v="0"/>
    <n v="1555"/>
    <x v="9"/>
    <n v="699.75"/>
    <n v="14694.75"/>
  </r>
  <r>
    <x v="0"/>
    <s v="227-07-4446"/>
    <x v="1"/>
    <x v="1"/>
    <x v="0"/>
    <x v="1"/>
    <n v="7813"/>
    <x v="3"/>
    <n v="3906.5"/>
    <n v="82036.5"/>
  </r>
  <r>
    <x v="0"/>
    <s v="428-83-5800"/>
    <x v="1"/>
    <x v="1"/>
    <x v="0"/>
    <x v="3"/>
    <n v="2108"/>
    <x v="5"/>
    <n v="316.20000000000005"/>
    <n v="6640.2"/>
  </r>
  <r>
    <x v="0"/>
    <s v="704-20-4138"/>
    <x v="1"/>
    <x v="1"/>
    <x v="0"/>
    <x v="0"/>
    <n v="2967"/>
    <x v="0"/>
    <n v="1038.45"/>
    <n v="21807.45"/>
  </r>
  <r>
    <x v="0"/>
    <s v="649-11-3678"/>
    <x v="1"/>
    <x v="1"/>
    <x v="1"/>
    <x v="3"/>
    <n v="2293"/>
    <x v="9"/>
    <n v="1031.8500000000001"/>
    <n v="21668.85"/>
  </r>
  <r>
    <x v="0"/>
    <s v="622-20-1945"/>
    <x v="1"/>
    <x v="1"/>
    <x v="1"/>
    <x v="0"/>
    <n v="3942"/>
    <x v="8"/>
    <n v="197.10000000000002"/>
    <n v="4139.1000000000004"/>
  </r>
  <r>
    <x v="0"/>
    <s v="563-91-7120"/>
    <x v="0"/>
    <x v="0"/>
    <x v="1"/>
    <x v="4"/>
    <n v="6177"/>
    <x v="1"/>
    <n v="1544.25"/>
    <n v="32429.25"/>
  </r>
  <r>
    <x v="0"/>
    <s v="527-09-6272"/>
    <x v="0"/>
    <x v="0"/>
    <x v="0"/>
    <x v="1"/>
    <n v="2845"/>
    <x v="1"/>
    <n v="711.25"/>
    <n v="14936.25"/>
  </r>
  <r>
    <x v="0"/>
    <s v="692-27-8933"/>
    <x v="2"/>
    <x v="2"/>
    <x v="1"/>
    <x v="5"/>
    <n v="5795"/>
    <x v="2"/>
    <n v="1738.5"/>
    <n v="36508.5"/>
  </r>
  <r>
    <x v="0"/>
    <s v="633-09-3463"/>
    <x v="1"/>
    <x v="1"/>
    <x v="1"/>
    <x v="1"/>
    <n v="4765"/>
    <x v="5"/>
    <n v="714.75"/>
    <n v="15009.75"/>
  </r>
  <r>
    <x v="0"/>
    <s v="374-17-3652"/>
    <x v="2"/>
    <x v="2"/>
    <x v="0"/>
    <x v="3"/>
    <n v="4282"/>
    <x v="9"/>
    <n v="1926.9"/>
    <n v="40464.9"/>
  </r>
  <r>
    <x v="0"/>
    <s v="433-75-6987"/>
    <x v="2"/>
    <x v="2"/>
    <x v="0"/>
    <x v="0"/>
    <n v="5597"/>
    <x v="0"/>
    <n v="1958.95"/>
    <n v="41137.949999999997"/>
  </r>
  <r>
    <x v="0"/>
    <s v="873-95-4984"/>
    <x v="2"/>
    <x v="2"/>
    <x v="0"/>
    <x v="0"/>
    <n v="769"/>
    <x v="0"/>
    <n v="269.15000000000003"/>
    <n v="5652.15"/>
  </r>
  <r>
    <x v="0"/>
    <s v="416-13-5917"/>
    <x v="1"/>
    <x v="1"/>
    <x v="1"/>
    <x v="3"/>
    <n v="9703"/>
    <x v="1"/>
    <n v="2425.75"/>
    <n v="50940.75"/>
  </r>
  <r>
    <x v="0"/>
    <s v="135-84-8019"/>
    <x v="0"/>
    <x v="0"/>
    <x v="1"/>
    <x v="4"/>
    <n v="7793"/>
    <x v="9"/>
    <n v="3506.8500000000004"/>
    <n v="73643.850000000006"/>
  </r>
  <r>
    <x v="0"/>
    <s v="725-96-3778"/>
    <x v="1"/>
    <x v="1"/>
    <x v="0"/>
    <x v="2"/>
    <n v="8925"/>
    <x v="7"/>
    <n v="3570"/>
    <n v="74970"/>
  </r>
  <r>
    <x v="0"/>
    <s v="400-45-1220"/>
    <x v="2"/>
    <x v="2"/>
    <x v="1"/>
    <x v="0"/>
    <n v="135"/>
    <x v="3"/>
    <n v="67.5"/>
    <n v="1417.5"/>
  </r>
  <r>
    <x v="0"/>
    <s v="860-79-0874"/>
    <x v="1"/>
    <x v="1"/>
    <x v="0"/>
    <x v="4"/>
    <n v="993"/>
    <x v="3"/>
    <n v="496.5"/>
    <n v="10426.5"/>
  </r>
  <r>
    <x v="0"/>
    <s v="115-99-4379"/>
    <x v="2"/>
    <x v="2"/>
    <x v="0"/>
    <x v="4"/>
    <n v="5473"/>
    <x v="0"/>
    <n v="1915.5500000000002"/>
    <n v="40226.550000000003"/>
  </r>
  <r>
    <x v="0"/>
    <s v="320-49-6392"/>
    <x v="1"/>
    <x v="1"/>
    <x v="1"/>
    <x v="1"/>
    <n v="3024"/>
    <x v="8"/>
    <n v="151.20000000000002"/>
    <n v="3175.2"/>
  </r>
  <r>
    <x v="0"/>
    <s v="889-04-9723"/>
    <x v="2"/>
    <x v="2"/>
    <x v="0"/>
    <x v="3"/>
    <n v="8914"/>
    <x v="6"/>
    <n v="1782.8000000000002"/>
    <n v="37438.800000000003"/>
  </r>
  <r>
    <x v="0"/>
    <s v="632-90-0281"/>
    <x v="1"/>
    <x v="1"/>
    <x v="1"/>
    <x v="4"/>
    <n v="3755"/>
    <x v="3"/>
    <n v="1877.5"/>
    <n v="39427.5"/>
  </r>
  <r>
    <x v="0"/>
    <s v="554-42-2417"/>
    <x v="1"/>
    <x v="1"/>
    <x v="1"/>
    <x v="5"/>
    <n v="9544"/>
    <x v="3"/>
    <n v="4772"/>
    <n v="100212"/>
  </r>
  <r>
    <x v="0"/>
    <s v="605-72-4132"/>
    <x v="1"/>
    <x v="1"/>
    <x v="1"/>
    <x v="3"/>
    <n v="9447"/>
    <x v="7"/>
    <n v="3778.8"/>
    <n v="79354.8"/>
  </r>
  <r>
    <x v="0"/>
    <s v="272-27-9238"/>
    <x v="1"/>
    <x v="1"/>
    <x v="1"/>
    <x v="3"/>
    <n v="4124"/>
    <x v="6"/>
    <n v="824.80000000000007"/>
    <n v="17320.8"/>
  </r>
  <r>
    <x v="0"/>
    <s v="834-25-9262"/>
    <x v="1"/>
    <x v="1"/>
    <x v="1"/>
    <x v="4"/>
    <n v="8168"/>
    <x v="6"/>
    <n v="1633.6000000000001"/>
    <n v="34305.599999999999"/>
  </r>
  <r>
    <x v="0"/>
    <s v="122-61-9553"/>
    <x v="1"/>
    <x v="1"/>
    <x v="1"/>
    <x v="1"/>
    <n v="5132"/>
    <x v="9"/>
    <n v="2309.4"/>
    <n v="48497.4"/>
  </r>
  <r>
    <x v="0"/>
    <s v="613-59-9758"/>
    <x v="1"/>
    <x v="1"/>
    <x v="1"/>
    <x v="5"/>
    <n v="1436"/>
    <x v="3"/>
    <n v="718"/>
    <n v="15078"/>
  </r>
  <r>
    <x v="0"/>
    <s v="201-86-2184"/>
    <x v="2"/>
    <x v="2"/>
    <x v="0"/>
    <x v="1"/>
    <n v="2626"/>
    <x v="0"/>
    <n v="919.1"/>
    <n v="19301.099999999999"/>
  </r>
  <r>
    <x v="0"/>
    <s v="261-12-8671"/>
    <x v="2"/>
    <x v="2"/>
    <x v="1"/>
    <x v="4"/>
    <n v="6096"/>
    <x v="4"/>
    <n v="609.6"/>
    <n v="12801.6"/>
  </r>
  <r>
    <x v="0"/>
    <s v="730-70-9830"/>
    <x v="1"/>
    <x v="1"/>
    <x v="1"/>
    <x v="2"/>
    <n v="7011"/>
    <x v="2"/>
    <n v="2103.3000000000002"/>
    <n v="44169.3"/>
  </r>
  <r>
    <x v="0"/>
    <s v="422-29-8786"/>
    <x v="0"/>
    <x v="0"/>
    <x v="1"/>
    <x v="2"/>
    <n v="6709"/>
    <x v="1"/>
    <n v="1677.25"/>
    <n v="35222.25"/>
  </r>
  <r>
    <x v="0"/>
    <s v="667-23-5919"/>
    <x v="0"/>
    <x v="0"/>
    <x v="0"/>
    <x v="4"/>
    <n v="967"/>
    <x v="1"/>
    <n v="241.75"/>
    <n v="5076.75"/>
  </r>
  <r>
    <x v="0"/>
    <s v="843-01-4703"/>
    <x v="2"/>
    <x v="2"/>
    <x v="0"/>
    <x v="2"/>
    <n v="3538"/>
    <x v="9"/>
    <n v="1592.1000000000001"/>
    <n v="33434.1"/>
  </r>
  <r>
    <x v="0"/>
    <s v="182-69-8360"/>
    <x v="2"/>
    <x v="2"/>
    <x v="1"/>
    <x v="1"/>
    <n v="2365"/>
    <x v="6"/>
    <n v="473"/>
    <n v="9933"/>
  </r>
  <r>
    <x v="0"/>
    <s v="462-78-5240"/>
    <x v="1"/>
    <x v="1"/>
    <x v="1"/>
    <x v="1"/>
    <n v="2661"/>
    <x v="4"/>
    <n v="266.10000000000002"/>
    <n v="5588.1"/>
  </r>
  <r>
    <x v="0"/>
    <s v="868-52-7573"/>
    <x v="2"/>
    <x v="2"/>
    <x v="1"/>
    <x v="3"/>
    <n v="9969"/>
    <x v="1"/>
    <n v="2492.25"/>
    <n v="52337.25"/>
  </r>
  <r>
    <x v="0"/>
    <s v="153-58-4872"/>
    <x v="1"/>
    <x v="1"/>
    <x v="0"/>
    <x v="3"/>
    <n v="7489"/>
    <x v="6"/>
    <n v="1497.8000000000002"/>
    <n v="31453.8"/>
  </r>
  <r>
    <x v="0"/>
    <s v="662-72-2873"/>
    <x v="0"/>
    <x v="0"/>
    <x v="1"/>
    <x v="3"/>
    <n v="4094"/>
    <x v="1"/>
    <n v="1023.5"/>
    <n v="21493.5"/>
  </r>
  <r>
    <x v="0"/>
    <s v="725-56-0833"/>
    <x v="0"/>
    <x v="0"/>
    <x v="1"/>
    <x v="0"/>
    <n v="3232"/>
    <x v="3"/>
    <n v="1616"/>
    <n v="33936"/>
  </r>
  <r>
    <x v="0"/>
    <s v="394-41-0748"/>
    <x v="1"/>
    <x v="1"/>
    <x v="0"/>
    <x v="4"/>
    <n v="5407"/>
    <x v="9"/>
    <n v="2433.15"/>
    <n v="51096.15"/>
  </r>
  <r>
    <x v="0"/>
    <s v="541-89-9860"/>
    <x v="1"/>
    <x v="1"/>
    <x v="0"/>
    <x v="4"/>
    <n v="8048"/>
    <x v="5"/>
    <n v="1207.2"/>
    <n v="25351.200000000001"/>
  </r>
  <r>
    <x v="0"/>
    <s v="173-82-9529"/>
    <x v="2"/>
    <x v="2"/>
    <x v="1"/>
    <x v="4"/>
    <n v="3795"/>
    <x v="3"/>
    <n v="1897.5"/>
    <n v="39847.5"/>
  </r>
  <r>
    <x v="0"/>
    <s v="308-47-4913"/>
    <x v="0"/>
    <x v="0"/>
    <x v="0"/>
    <x v="5"/>
    <n v="5226"/>
    <x v="3"/>
    <n v="2613"/>
    <n v="54873"/>
  </r>
  <r>
    <x v="0"/>
    <s v="885-17-6250"/>
    <x v="0"/>
    <x v="0"/>
    <x v="1"/>
    <x v="0"/>
    <n v="7974"/>
    <x v="8"/>
    <n v="398.70000000000005"/>
    <n v="8372.7000000000007"/>
  </r>
  <r>
    <x v="0"/>
    <s v="726-27-2396"/>
    <x v="0"/>
    <x v="0"/>
    <x v="1"/>
    <x v="0"/>
    <n v="775"/>
    <x v="1"/>
    <n v="193.75"/>
    <n v="4068.75"/>
  </r>
  <r>
    <x v="0"/>
    <s v="316-01-3952"/>
    <x v="0"/>
    <x v="0"/>
    <x v="1"/>
    <x v="3"/>
    <n v="5427"/>
    <x v="1"/>
    <n v="1356.75"/>
    <n v="28491.75"/>
  </r>
  <r>
    <x v="0"/>
    <s v="793-10-3222"/>
    <x v="2"/>
    <x v="2"/>
    <x v="0"/>
    <x v="0"/>
    <n v="4106"/>
    <x v="2"/>
    <n v="1231.8000000000002"/>
    <n v="25867.8"/>
  </r>
  <r>
    <x v="0"/>
    <s v="110-05-6330"/>
    <x v="1"/>
    <x v="1"/>
    <x v="1"/>
    <x v="3"/>
    <n v="3943"/>
    <x v="2"/>
    <n v="1182.9000000000001"/>
    <n v="24840.9"/>
  </r>
  <r>
    <x v="0"/>
    <s v="831-64-0259"/>
    <x v="2"/>
    <x v="2"/>
    <x v="1"/>
    <x v="4"/>
    <n v="3975"/>
    <x v="1"/>
    <n v="993.75"/>
    <n v="20868.75"/>
  </r>
  <r>
    <x v="0"/>
    <s v="587-03-7455"/>
    <x v="1"/>
    <x v="1"/>
    <x v="0"/>
    <x v="4"/>
    <n v="9779"/>
    <x v="0"/>
    <n v="3422.65"/>
    <n v="71875.649999999994"/>
  </r>
  <r>
    <x v="0"/>
    <s v="725-32-9708"/>
    <x v="2"/>
    <x v="2"/>
    <x v="0"/>
    <x v="4"/>
    <n v="6871"/>
    <x v="6"/>
    <n v="1374.2"/>
    <n v="28858.2"/>
  </r>
  <r>
    <x v="0"/>
    <s v="256-08-8343"/>
    <x v="0"/>
    <x v="0"/>
    <x v="1"/>
    <x v="2"/>
    <n v="5653"/>
    <x v="6"/>
    <n v="1130.6000000000001"/>
    <n v="23742.6"/>
  </r>
  <r>
    <x v="0"/>
    <s v="372-26-1506"/>
    <x v="1"/>
    <x v="1"/>
    <x v="1"/>
    <x v="4"/>
    <n v="2382"/>
    <x v="1"/>
    <n v="595.5"/>
    <n v="12505.5"/>
  </r>
  <r>
    <x v="0"/>
    <s v="244-08-0162"/>
    <x v="2"/>
    <x v="2"/>
    <x v="1"/>
    <x v="0"/>
    <n v="3421"/>
    <x v="3"/>
    <n v="1710.5"/>
    <n v="35920.5"/>
  </r>
  <r>
    <x v="0"/>
    <s v="750-57-9686"/>
    <x v="1"/>
    <x v="1"/>
    <x v="1"/>
    <x v="2"/>
    <n v="4538"/>
    <x v="6"/>
    <n v="907.6"/>
    <n v="19059.599999999999"/>
  </r>
  <r>
    <x v="0"/>
    <s v="186-09-3669"/>
    <x v="1"/>
    <x v="1"/>
    <x v="0"/>
    <x v="0"/>
    <n v="8151"/>
    <x v="8"/>
    <n v="407.55"/>
    <n v="8558.5499999999993"/>
  </r>
  <r>
    <x v="0"/>
    <s v="848-07-1692"/>
    <x v="2"/>
    <x v="2"/>
    <x v="1"/>
    <x v="0"/>
    <n v="5722"/>
    <x v="4"/>
    <n v="572.20000000000005"/>
    <n v="12016.2"/>
  </r>
  <r>
    <x v="0"/>
    <s v="745-71-3520"/>
    <x v="0"/>
    <x v="0"/>
    <x v="0"/>
    <x v="1"/>
    <n v="2522"/>
    <x v="0"/>
    <n v="882.7"/>
    <n v="18536.7"/>
  </r>
  <r>
    <x v="0"/>
    <s v="266-76-6436"/>
    <x v="1"/>
    <x v="1"/>
    <x v="0"/>
    <x v="3"/>
    <n v="386"/>
    <x v="5"/>
    <n v="57.900000000000006"/>
    <n v="1215.9000000000001"/>
  </r>
  <r>
    <x v="0"/>
    <s v="740-22-2500"/>
    <x v="1"/>
    <x v="1"/>
    <x v="1"/>
    <x v="1"/>
    <n v="8405"/>
    <x v="5"/>
    <n v="1260.75"/>
    <n v="26475.75"/>
  </r>
  <r>
    <x v="0"/>
    <s v="271-88-8734"/>
    <x v="1"/>
    <x v="1"/>
    <x v="0"/>
    <x v="4"/>
    <n v="9721"/>
    <x v="3"/>
    <n v="4860.5"/>
    <n v="102070.5"/>
  </r>
  <r>
    <x v="0"/>
    <s v="650-98-6268"/>
    <x v="2"/>
    <x v="2"/>
    <x v="0"/>
    <x v="3"/>
    <n v="2087"/>
    <x v="5"/>
    <n v="313.05"/>
    <n v="6574.05"/>
  </r>
  <r>
    <x v="0"/>
    <s v="325-77-6186"/>
    <x v="0"/>
    <x v="0"/>
    <x v="0"/>
    <x v="2"/>
    <n v="9065"/>
    <x v="3"/>
    <n v="4532.5"/>
    <n v="95182.5"/>
  </r>
  <r>
    <x v="0"/>
    <s v="459-50-7686"/>
    <x v="0"/>
    <x v="0"/>
    <x v="1"/>
    <x v="1"/>
    <n v="2346"/>
    <x v="2"/>
    <n v="703.80000000000007"/>
    <n v="14779.8"/>
  </r>
  <r>
    <x v="0"/>
    <s v="837-55-7229"/>
    <x v="2"/>
    <x v="2"/>
    <x v="1"/>
    <x v="4"/>
    <n v="4744"/>
    <x v="8"/>
    <n v="237.20000000000002"/>
    <n v="4981.2"/>
  </r>
  <r>
    <x v="0"/>
    <s v="810-60-6344"/>
    <x v="1"/>
    <x v="1"/>
    <x v="1"/>
    <x v="1"/>
    <n v="4086"/>
    <x v="7"/>
    <n v="1634.4"/>
    <n v="34322.400000000001"/>
  </r>
  <r>
    <x v="0"/>
    <s v="394-30-3170"/>
    <x v="2"/>
    <x v="2"/>
    <x v="0"/>
    <x v="5"/>
    <n v="8843"/>
    <x v="7"/>
    <n v="3537.2000000000003"/>
    <n v="74281.2"/>
  </r>
  <r>
    <x v="0"/>
    <s v="138-17-5109"/>
    <x v="0"/>
    <x v="0"/>
    <x v="0"/>
    <x v="2"/>
    <n v="8921"/>
    <x v="9"/>
    <n v="4014.4500000000003"/>
    <n v="84303.45"/>
  </r>
  <r>
    <x v="0"/>
    <s v="301-11-9629"/>
    <x v="0"/>
    <x v="0"/>
    <x v="1"/>
    <x v="5"/>
    <n v="191"/>
    <x v="0"/>
    <n v="66.850000000000009"/>
    <n v="1403.85"/>
  </r>
  <r>
    <x v="0"/>
    <s v="390-80-5128"/>
    <x v="2"/>
    <x v="2"/>
    <x v="0"/>
    <x v="0"/>
    <n v="1915"/>
    <x v="8"/>
    <n v="95.75"/>
    <n v="2010.75"/>
  </r>
  <r>
    <x v="0"/>
    <s v="296-11-7041"/>
    <x v="2"/>
    <x v="2"/>
    <x v="0"/>
    <x v="0"/>
    <n v="2707"/>
    <x v="8"/>
    <n v="135.35"/>
    <n v="2842.35"/>
  </r>
  <r>
    <x v="0"/>
    <s v="449-27-2918"/>
    <x v="2"/>
    <x v="2"/>
    <x v="0"/>
    <x v="5"/>
    <n v="3912"/>
    <x v="8"/>
    <n v="195.60000000000002"/>
    <n v="4107.6000000000004"/>
  </r>
  <r>
    <x v="0"/>
    <s v="891-01-7034"/>
    <x v="2"/>
    <x v="2"/>
    <x v="1"/>
    <x v="1"/>
    <n v="7471"/>
    <x v="2"/>
    <n v="2241.3000000000002"/>
    <n v="47067.3"/>
  </r>
  <r>
    <x v="0"/>
    <s v="727-17-0390"/>
    <x v="0"/>
    <x v="0"/>
    <x v="1"/>
    <x v="3"/>
    <n v="6361"/>
    <x v="1"/>
    <n v="1590.25"/>
    <n v="33395.25"/>
  </r>
  <r>
    <x v="0"/>
    <s v="767-54-1907"/>
    <x v="2"/>
    <x v="2"/>
    <x v="0"/>
    <x v="4"/>
    <n v="2956"/>
    <x v="1"/>
    <n v="739"/>
    <n v="15519"/>
  </r>
  <r>
    <x v="0"/>
    <s v="710-46-4433"/>
    <x v="2"/>
    <x v="2"/>
    <x v="0"/>
    <x v="3"/>
    <n v="774"/>
    <x v="9"/>
    <n v="348.3"/>
    <n v="7314.3"/>
  </r>
  <r>
    <x v="0"/>
    <s v="325-90-8763"/>
    <x v="1"/>
    <x v="1"/>
    <x v="0"/>
    <x v="1"/>
    <n v="4657"/>
    <x v="3"/>
    <n v="2328.5"/>
    <n v="48898.5"/>
  </r>
  <r>
    <x v="0"/>
    <s v="234-03-4040"/>
    <x v="2"/>
    <x v="2"/>
    <x v="0"/>
    <x v="3"/>
    <n v="7305"/>
    <x v="3"/>
    <n v="3652.5"/>
    <n v="76702.5"/>
  </r>
  <r>
    <x v="0"/>
    <s v="326-71-2155"/>
    <x v="1"/>
    <x v="1"/>
    <x v="1"/>
    <x v="5"/>
    <n v="7395"/>
    <x v="6"/>
    <n v="1479"/>
    <n v="31059"/>
  </r>
  <r>
    <x v="0"/>
    <s v="320-32-8842"/>
    <x v="1"/>
    <x v="1"/>
    <x v="0"/>
    <x v="3"/>
    <n v="2262"/>
    <x v="8"/>
    <n v="113.10000000000001"/>
    <n v="2375.1"/>
  </r>
  <r>
    <x v="0"/>
    <s v="878-30-2331"/>
    <x v="1"/>
    <x v="1"/>
    <x v="0"/>
    <x v="5"/>
    <n v="5455"/>
    <x v="3"/>
    <n v="2727.5"/>
    <n v="57277.5"/>
  </r>
  <r>
    <x v="0"/>
    <s v="440-59-5691"/>
    <x v="1"/>
    <x v="1"/>
    <x v="0"/>
    <x v="0"/>
    <n v="3715"/>
    <x v="0"/>
    <n v="1300.25"/>
    <n v="27305.25"/>
  </r>
  <r>
    <x v="0"/>
    <s v="233-34-0817"/>
    <x v="1"/>
    <x v="1"/>
    <x v="0"/>
    <x v="1"/>
    <n v="9884"/>
    <x v="8"/>
    <n v="494.20000000000005"/>
    <n v="10378.200000000001"/>
  </r>
  <r>
    <x v="0"/>
    <s v="767-05-1286"/>
    <x v="1"/>
    <x v="1"/>
    <x v="0"/>
    <x v="2"/>
    <n v="8377"/>
    <x v="2"/>
    <n v="2513.1000000000004"/>
    <n v="52775.1"/>
  </r>
  <r>
    <x v="0"/>
    <s v="340-21-9136"/>
    <x v="0"/>
    <x v="0"/>
    <x v="0"/>
    <x v="5"/>
    <n v="4005"/>
    <x v="6"/>
    <n v="801"/>
    <n v="16821"/>
  </r>
  <r>
    <x v="0"/>
    <s v="676-39-6028"/>
    <x v="0"/>
    <x v="0"/>
    <x v="0"/>
    <x v="1"/>
    <n v="6444"/>
    <x v="1"/>
    <n v="1611"/>
    <n v="33831"/>
  </r>
  <r>
    <x v="0"/>
    <s v="485-30-8700"/>
    <x v="0"/>
    <x v="0"/>
    <x v="1"/>
    <x v="5"/>
    <n v="3326"/>
    <x v="1"/>
    <n v="831.5"/>
    <n v="17461.5"/>
  </r>
  <r>
    <x v="0"/>
    <s v="246-11-3901"/>
    <x v="1"/>
    <x v="1"/>
    <x v="1"/>
    <x v="1"/>
    <n v="328"/>
    <x v="3"/>
    <n v="164"/>
    <n v="3444"/>
  </r>
  <r>
    <x v="0"/>
    <s v="493-65-6248"/>
    <x v="1"/>
    <x v="1"/>
    <x v="0"/>
    <x v="5"/>
    <n v="3698"/>
    <x v="3"/>
    <n v="1849"/>
    <n v="38829"/>
  </r>
  <r>
    <x v="0"/>
    <s v="438-01-4015"/>
    <x v="2"/>
    <x v="2"/>
    <x v="0"/>
    <x v="5"/>
    <n v="4949"/>
    <x v="6"/>
    <n v="989.80000000000007"/>
    <n v="20785.8"/>
  </r>
  <r>
    <x v="0"/>
    <s v="709-58-4068"/>
    <x v="2"/>
    <x v="2"/>
    <x v="1"/>
    <x v="4"/>
    <n v="4109"/>
    <x v="3"/>
    <n v="2054.5"/>
    <n v="43144.5"/>
  </r>
  <r>
    <x v="0"/>
    <s v="627-95-3243"/>
    <x v="2"/>
    <x v="2"/>
    <x v="0"/>
    <x v="2"/>
    <n v="7768"/>
    <x v="9"/>
    <n v="3495.6000000000004"/>
    <n v="73407.600000000006"/>
  </r>
  <r>
    <x v="0"/>
    <s v="686-41-0932"/>
    <x v="2"/>
    <x v="2"/>
    <x v="1"/>
    <x v="4"/>
    <n v="347"/>
    <x v="4"/>
    <n v="34.700000000000003"/>
    <n v="728.7"/>
  </r>
  <r>
    <x v="0"/>
    <s v="510-09-5628"/>
    <x v="0"/>
    <x v="0"/>
    <x v="0"/>
    <x v="4"/>
    <n v="1966"/>
    <x v="3"/>
    <n v="983"/>
    <n v="20643"/>
  </r>
  <r>
    <x v="0"/>
    <s v="608-04-3797"/>
    <x v="2"/>
    <x v="2"/>
    <x v="0"/>
    <x v="0"/>
    <n v="2532"/>
    <x v="7"/>
    <n v="1012.8000000000001"/>
    <n v="21268.799999999999"/>
  </r>
  <r>
    <x v="0"/>
    <s v="148-82-2527"/>
    <x v="1"/>
    <x v="1"/>
    <x v="0"/>
    <x v="2"/>
    <n v="1212"/>
    <x v="3"/>
    <n v="606"/>
    <n v="12726"/>
  </r>
  <r>
    <x v="0"/>
    <s v="556-97-7101"/>
    <x v="1"/>
    <x v="1"/>
    <x v="1"/>
    <x v="1"/>
    <n v="6322"/>
    <x v="4"/>
    <n v="632.20000000000005"/>
    <n v="13276.2"/>
  </r>
  <r>
    <x v="0"/>
    <s v="862-59-8517"/>
    <x v="1"/>
    <x v="1"/>
    <x v="1"/>
    <x v="3"/>
    <n v="9024"/>
    <x v="2"/>
    <n v="2707.2000000000003"/>
    <n v="56851.199999999997"/>
  </r>
  <r>
    <x v="0"/>
    <s v="401-18-8016"/>
    <x v="2"/>
    <x v="2"/>
    <x v="0"/>
    <x v="5"/>
    <n v="9813"/>
    <x v="8"/>
    <n v="490.65000000000003"/>
    <n v="10303.65"/>
  </r>
  <r>
    <x v="0"/>
    <s v="420-18-8989"/>
    <x v="0"/>
    <x v="0"/>
    <x v="0"/>
    <x v="5"/>
    <n v="5152"/>
    <x v="7"/>
    <n v="2060.8000000000002"/>
    <n v="43276.800000000003"/>
  </r>
  <r>
    <x v="0"/>
    <s v="573-98-8548"/>
    <x v="1"/>
    <x v="1"/>
    <x v="0"/>
    <x v="4"/>
    <n v="319"/>
    <x v="8"/>
    <n v="15.950000000000001"/>
    <n v="334.95"/>
  </r>
  <r>
    <x v="0"/>
    <s v="282-35-2475"/>
    <x v="2"/>
    <x v="2"/>
    <x v="1"/>
    <x v="5"/>
    <n v="9331"/>
    <x v="4"/>
    <n v="933.1"/>
    <n v="19595.099999999999"/>
  </r>
  <r>
    <x v="0"/>
    <s v="387-49-4215"/>
    <x v="2"/>
    <x v="2"/>
    <x v="0"/>
    <x v="5"/>
    <n v="485"/>
    <x v="5"/>
    <n v="72.75"/>
    <n v="1527.75"/>
  </r>
  <r>
    <x v="0"/>
    <s v="862-17-9201"/>
    <x v="2"/>
    <x v="2"/>
    <x v="1"/>
    <x v="3"/>
    <n v="8405"/>
    <x v="2"/>
    <n v="2521.5"/>
    <n v="52951.5"/>
  </r>
  <r>
    <x v="0"/>
    <s v="602-80-9671"/>
    <x v="1"/>
    <x v="1"/>
    <x v="0"/>
    <x v="2"/>
    <n v="1595"/>
    <x v="2"/>
    <n v="478.5"/>
    <n v="10048.5"/>
  </r>
  <r>
    <x v="0"/>
    <s v="347-72-6115"/>
    <x v="2"/>
    <x v="2"/>
    <x v="0"/>
    <x v="5"/>
    <n v="9074"/>
    <x v="0"/>
    <n v="3175.9"/>
    <n v="66693.899999999994"/>
  </r>
  <r>
    <x v="0"/>
    <s v="209-61-0206"/>
    <x v="0"/>
    <x v="0"/>
    <x v="1"/>
    <x v="2"/>
    <n v="4291"/>
    <x v="1"/>
    <n v="1072.75"/>
    <n v="22527.75"/>
  </r>
  <r>
    <x v="0"/>
    <s v="595-27-4851"/>
    <x v="0"/>
    <x v="0"/>
    <x v="1"/>
    <x v="4"/>
    <n v="5428"/>
    <x v="0"/>
    <n v="1899.8000000000002"/>
    <n v="39895.800000000003"/>
  </r>
  <r>
    <x v="0"/>
    <s v="413-20-6708"/>
    <x v="1"/>
    <x v="1"/>
    <x v="0"/>
    <x v="4"/>
    <n v="5147"/>
    <x v="8"/>
    <n v="257.35000000000002"/>
    <n v="5404.35"/>
  </r>
  <r>
    <x v="0"/>
    <s v="734-91-1155"/>
    <x v="2"/>
    <x v="2"/>
    <x v="1"/>
    <x v="1"/>
    <n v="4571"/>
    <x v="5"/>
    <n v="685.65000000000009"/>
    <n v="14398.65"/>
  </r>
  <r>
    <x v="0"/>
    <s v="451-28-5717"/>
    <x v="1"/>
    <x v="1"/>
    <x v="0"/>
    <x v="2"/>
    <n v="8317"/>
    <x v="2"/>
    <n v="2495.1000000000004"/>
    <n v="52397.1"/>
  </r>
  <r>
    <x v="0"/>
    <s v="609-81-8548"/>
    <x v="0"/>
    <x v="0"/>
    <x v="0"/>
    <x v="2"/>
    <n v="3744"/>
    <x v="2"/>
    <n v="1123.2"/>
    <n v="23587.200000000001"/>
  </r>
  <r>
    <x v="0"/>
    <s v="719-89-8991"/>
    <x v="0"/>
    <x v="0"/>
    <x v="0"/>
    <x v="5"/>
    <n v="9141"/>
    <x v="1"/>
    <n v="2285.25"/>
    <n v="47990.25"/>
  </r>
  <r>
    <x v="0"/>
    <s v="827-44-5872"/>
    <x v="2"/>
    <x v="2"/>
    <x v="0"/>
    <x v="3"/>
    <n v="5436"/>
    <x v="3"/>
    <n v="2718"/>
    <n v="57078"/>
  </r>
  <r>
    <x v="0"/>
    <s v="236-27-1144"/>
    <x v="1"/>
    <x v="1"/>
    <x v="1"/>
    <x v="3"/>
    <n v="1631"/>
    <x v="9"/>
    <n v="733.95"/>
    <n v="15412.95"/>
  </r>
  <r>
    <x v="0"/>
    <s v="892-05-6689"/>
    <x v="0"/>
    <x v="0"/>
    <x v="1"/>
    <x v="2"/>
    <n v="2832"/>
    <x v="1"/>
    <n v="708"/>
    <n v="14868"/>
  </r>
  <r>
    <x v="0"/>
    <s v="339-12-4827"/>
    <x v="2"/>
    <x v="2"/>
    <x v="0"/>
    <x v="4"/>
    <n v="7396"/>
    <x v="8"/>
    <n v="369.8"/>
    <n v="7765.8"/>
  </r>
  <r>
    <x v="0"/>
    <s v="308-81-0538"/>
    <x v="0"/>
    <x v="0"/>
    <x v="1"/>
    <x v="4"/>
    <n v="7305"/>
    <x v="6"/>
    <n v="1461"/>
    <n v="30681"/>
  </r>
  <r>
    <x v="0"/>
    <s v="358-88-9262"/>
    <x v="1"/>
    <x v="1"/>
    <x v="0"/>
    <x v="3"/>
    <n v="8748"/>
    <x v="2"/>
    <n v="2624.4"/>
    <n v="55112.4"/>
  </r>
  <r>
    <x v="0"/>
    <s v="173-50-1108"/>
    <x v="2"/>
    <x v="2"/>
    <x v="0"/>
    <x v="5"/>
    <n v="2018"/>
    <x v="6"/>
    <n v="403.6"/>
    <n v="8475.6"/>
  </r>
  <r>
    <x v="0"/>
    <s v="841-18-8232"/>
    <x v="2"/>
    <x v="2"/>
    <x v="1"/>
    <x v="3"/>
    <n v="712"/>
    <x v="8"/>
    <n v="35.6"/>
    <n v="747.6"/>
  </r>
  <r>
    <x v="0"/>
    <s v="647-50-1224"/>
    <x v="0"/>
    <x v="0"/>
    <x v="1"/>
    <x v="4"/>
    <n v="2942"/>
    <x v="3"/>
    <n v="1471"/>
    <n v="30891"/>
  </r>
  <r>
    <x v="0"/>
    <s v="539-21-7227"/>
    <x v="2"/>
    <x v="2"/>
    <x v="1"/>
    <x v="5"/>
    <n v="5154"/>
    <x v="1"/>
    <n v="1288.5"/>
    <n v="27058.5"/>
  </r>
  <r>
    <x v="0"/>
    <s v="213-32-1216"/>
    <x v="0"/>
    <x v="0"/>
    <x v="1"/>
    <x v="1"/>
    <n v="6606"/>
    <x v="2"/>
    <n v="1981.8000000000002"/>
    <n v="41617.800000000003"/>
  </r>
  <r>
    <x v="0"/>
    <s v="582-52-8065"/>
    <x v="2"/>
    <x v="2"/>
    <x v="1"/>
    <x v="4"/>
    <n v="5431"/>
    <x v="9"/>
    <n v="2443.9500000000003"/>
    <n v="51322.95"/>
  </r>
  <r>
    <x v="0"/>
    <s v="210-57-1719"/>
    <x v="2"/>
    <x v="2"/>
    <x v="1"/>
    <x v="0"/>
    <n v="5824"/>
    <x v="9"/>
    <n v="2620.8000000000002"/>
    <n v="55036.800000000003"/>
  </r>
  <r>
    <x v="0"/>
    <s v="198-66-9832"/>
    <x v="2"/>
    <x v="2"/>
    <x v="0"/>
    <x v="4"/>
    <n v="7204"/>
    <x v="4"/>
    <n v="720.40000000000009"/>
    <n v="15128.4"/>
  </r>
  <r>
    <x v="0"/>
    <s v="283-26-5248"/>
    <x v="1"/>
    <x v="1"/>
    <x v="0"/>
    <x v="3"/>
    <n v="9852"/>
    <x v="3"/>
    <n v="4926"/>
    <n v="103446"/>
  </r>
  <r>
    <x v="0"/>
    <s v="218-59-9410"/>
    <x v="0"/>
    <x v="0"/>
    <x v="0"/>
    <x v="2"/>
    <n v="7242"/>
    <x v="5"/>
    <n v="1086.3"/>
    <n v="22812.3"/>
  </r>
  <r>
    <x v="0"/>
    <s v="134-54-4720"/>
    <x v="2"/>
    <x v="2"/>
    <x v="1"/>
    <x v="1"/>
    <n v="4242"/>
    <x v="7"/>
    <n v="1696.8000000000002"/>
    <n v="35632.800000000003"/>
  </r>
  <r>
    <x v="0"/>
    <s v="698-98-5964"/>
    <x v="0"/>
    <x v="0"/>
    <x v="1"/>
    <x v="3"/>
    <n v="8121"/>
    <x v="3"/>
    <n v="4060.5"/>
    <n v="85270.5"/>
  </r>
  <r>
    <x v="0"/>
    <s v="718-57-9773"/>
    <x v="1"/>
    <x v="1"/>
    <x v="1"/>
    <x v="5"/>
    <n v="4933"/>
    <x v="3"/>
    <n v="2466.5"/>
    <n v="51796.5"/>
  </r>
  <r>
    <x v="0"/>
    <s v="651-88-7328"/>
    <x v="0"/>
    <x v="0"/>
    <x v="1"/>
    <x v="4"/>
    <n v="6574"/>
    <x v="9"/>
    <n v="2958.3"/>
    <n v="62124.3"/>
  </r>
  <r>
    <x v="0"/>
    <s v="241-11-2261"/>
    <x v="2"/>
    <x v="2"/>
    <x v="1"/>
    <x v="4"/>
    <n v="7986"/>
    <x v="0"/>
    <n v="2795.1000000000004"/>
    <n v="58697.1"/>
  </r>
  <r>
    <x v="0"/>
    <s v="408-26-9866"/>
    <x v="1"/>
    <x v="1"/>
    <x v="1"/>
    <x v="5"/>
    <n v="7398"/>
    <x v="0"/>
    <n v="2589.3000000000002"/>
    <n v="54375.3"/>
  </r>
  <r>
    <x v="0"/>
    <s v="834-83-1826"/>
    <x v="2"/>
    <x v="2"/>
    <x v="0"/>
    <x v="2"/>
    <n v="8204"/>
    <x v="1"/>
    <n v="2051"/>
    <n v="43071"/>
  </r>
  <r>
    <x v="0"/>
    <s v="797-88-0493"/>
    <x v="0"/>
    <x v="0"/>
    <x v="1"/>
    <x v="0"/>
    <n v="6427"/>
    <x v="6"/>
    <n v="1285.4000000000001"/>
    <n v="26993.4"/>
  </r>
  <r>
    <x v="0"/>
    <s v="443-82-0585"/>
    <x v="0"/>
    <x v="0"/>
    <x v="0"/>
    <x v="0"/>
    <n v="7768"/>
    <x v="6"/>
    <n v="1553.6000000000001"/>
    <n v="32625.599999999999"/>
  </r>
  <r>
    <x v="0"/>
    <s v="339-18-7061"/>
    <x v="1"/>
    <x v="1"/>
    <x v="0"/>
    <x v="4"/>
    <n v="9298"/>
    <x v="4"/>
    <n v="929.80000000000007"/>
    <n v="19525.8"/>
  </r>
  <r>
    <x v="0"/>
    <s v="359-90-3665"/>
    <x v="2"/>
    <x v="2"/>
    <x v="0"/>
    <x v="4"/>
    <n v="1808"/>
    <x v="6"/>
    <n v="361.6"/>
    <n v="7593.6"/>
  </r>
  <r>
    <x v="0"/>
    <s v="278-86-2735"/>
    <x v="0"/>
    <x v="0"/>
    <x v="1"/>
    <x v="3"/>
    <n v="5234"/>
    <x v="5"/>
    <n v="785.1"/>
    <n v="16487.099999999999"/>
  </r>
  <r>
    <x v="0"/>
    <s v="695-28-6250"/>
    <x v="0"/>
    <x v="0"/>
    <x v="1"/>
    <x v="5"/>
    <n v="4306"/>
    <x v="1"/>
    <n v="1076.5"/>
    <n v="22606.5"/>
  </r>
  <r>
    <x v="0"/>
    <s v="788-07-8452"/>
    <x v="1"/>
    <x v="1"/>
    <x v="0"/>
    <x v="2"/>
    <n v="2424"/>
    <x v="0"/>
    <n v="848.40000000000009"/>
    <n v="17816.400000000001"/>
  </r>
  <r>
    <x v="0"/>
    <s v="560-49-6611"/>
    <x v="0"/>
    <x v="0"/>
    <x v="0"/>
    <x v="5"/>
    <n v="4558"/>
    <x v="8"/>
    <n v="227.9"/>
    <n v="4785.8999999999996"/>
  </r>
  <r>
    <x v="0"/>
    <s v="880-35-0356"/>
    <x v="0"/>
    <x v="0"/>
    <x v="0"/>
    <x v="5"/>
    <n v="752"/>
    <x v="5"/>
    <n v="112.80000000000001"/>
    <n v="2368.8000000000002"/>
  </r>
  <r>
    <x v="0"/>
    <s v="123-35-4896"/>
    <x v="1"/>
    <x v="1"/>
    <x v="1"/>
    <x v="5"/>
    <n v="4666"/>
    <x v="9"/>
    <n v="2099.7000000000003"/>
    <n v="44093.7"/>
  </r>
  <r>
    <x v="0"/>
    <s v="258-69-7810"/>
    <x v="1"/>
    <x v="1"/>
    <x v="1"/>
    <x v="4"/>
    <n v="3685"/>
    <x v="1"/>
    <n v="921.25"/>
    <n v="19346.25"/>
  </r>
  <r>
    <x v="0"/>
    <s v="334-64-2006"/>
    <x v="0"/>
    <x v="0"/>
    <x v="0"/>
    <x v="2"/>
    <n v="7032"/>
    <x v="4"/>
    <n v="703.2"/>
    <n v="14767.2"/>
  </r>
  <r>
    <x v="0"/>
    <s v="881-41-7302"/>
    <x v="1"/>
    <x v="1"/>
    <x v="1"/>
    <x v="4"/>
    <n v="6499"/>
    <x v="8"/>
    <n v="324.95000000000005"/>
    <n v="6823.95"/>
  </r>
  <r>
    <x v="0"/>
    <s v="642-30-6693"/>
    <x v="2"/>
    <x v="2"/>
    <x v="1"/>
    <x v="5"/>
    <n v="5451"/>
    <x v="2"/>
    <n v="1635.3000000000002"/>
    <n v="34341.300000000003"/>
  </r>
  <r>
    <x v="0"/>
    <s v="484-22-8230"/>
    <x v="1"/>
    <x v="1"/>
    <x v="0"/>
    <x v="4"/>
    <n v="5189"/>
    <x v="0"/>
    <n v="1816.15"/>
    <n v="38139.15"/>
  </r>
  <r>
    <x v="0"/>
    <s v="559-98-9873"/>
    <x v="0"/>
    <x v="0"/>
    <x v="0"/>
    <x v="4"/>
    <n v="5365"/>
    <x v="0"/>
    <n v="1877.75"/>
    <n v="39432.75"/>
  </r>
  <r>
    <x v="0"/>
    <s v="544-32-5024"/>
    <x v="1"/>
    <x v="1"/>
    <x v="0"/>
    <x v="3"/>
    <n v="4979"/>
    <x v="6"/>
    <n v="995.80000000000007"/>
    <n v="20911.8"/>
  </r>
  <r>
    <x v="0"/>
    <s v="421-95-9805"/>
    <x v="0"/>
    <x v="0"/>
    <x v="1"/>
    <x v="1"/>
    <n v="2896"/>
    <x v="8"/>
    <n v="144.80000000000001"/>
    <n v="3040.8"/>
  </r>
  <r>
    <x v="0"/>
    <s v="277-35-5865"/>
    <x v="1"/>
    <x v="1"/>
    <x v="0"/>
    <x v="3"/>
    <n v="9897"/>
    <x v="9"/>
    <n v="4453.6500000000005"/>
    <n v="93526.65"/>
  </r>
  <r>
    <x v="0"/>
    <s v="509-29-3912"/>
    <x v="0"/>
    <x v="0"/>
    <x v="0"/>
    <x v="5"/>
    <n v="3872"/>
    <x v="9"/>
    <n v="1742.4"/>
    <n v="36590.400000000001"/>
  </r>
  <r>
    <x v="0"/>
    <s v="641-96-3695"/>
    <x v="1"/>
    <x v="1"/>
    <x v="0"/>
    <x v="4"/>
    <n v="4346"/>
    <x v="2"/>
    <n v="1303.8000000000002"/>
    <n v="27379.8"/>
  </r>
  <r>
    <x v="0"/>
    <s v="420-97-3340"/>
    <x v="0"/>
    <x v="0"/>
    <x v="1"/>
    <x v="3"/>
    <n v="7168"/>
    <x v="5"/>
    <n v="1075.2"/>
    <n v="22579.200000000001"/>
  </r>
  <r>
    <x v="0"/>
    <s v="436-54-4512"/>
    <x v="0"/>
    <x v="0"/>
    <x v="0"/>
    <x v="3"/>
    <n v="9161"/>
    <x v="8"/>
    <n v="458.05"/>
    <n v="9619.0499999999993"/>
  </r>
  <r>
    <x v="0"/>
    <s v="670-79-6321"/>
    <x v="2"/>
    <x v="2"/>
    <x v="0"/>
    <x v="2"/>
    <n v="9459"/>
    <x v="0"/>
    <n v="3310.65"/>
    <n v="69523.649999999994"/>
  </r>
  <r>
    <x v="0"/>
    <s v="852-62-7105"/>
    <x v="2"/>
    <x v="2"/>
    <x v="1"/>
    <x v="4"/>
    <n v="8325"/>
    <x v="3"/>
    <n v="4162.5"/>
    <n v="87412.5"/>
  </r>
  <r>
    <x v="0"/>
    <s v="135-13-8269"/>
    <x v="2"/>
    <x v="2"/>
    <x v="0"/>
    <x v="3"/>
    <n v="7888"/>
    <x v="4"/>
    <n v="788.80000000000007"/>
    <n v="16564.8"/>
  </r>
  <r>
    <x v="0"/>
    <s v="308-39-1707"/>
    <x v="0"/>
    <x v="0"/>
    <x v="1"/>
    <x v="4"/>
    <n v="1209"/>
    <x v="8"/>
    <n v="60.45"/>
    <n v="1269.45"/>
  </r>
  <r>
    <x v="0"/>
    <s v="318-81-2368"/>
    <x v="1"/>
    <x v="1"/>
    <x v="1"/>
    <x v="1"/>
    <n v="462"/>
    <x v="8"/>
    <n v="23.1"/>
    <n v="485.1"/>
  </r>
  <r>
    <x v="0"/>
    <s v="364-33-8584"/>
    <x v="2"/>
    <x v="2"/>
    <x v="0"/>
    <x v="3"/>
    <n v="1763"/>
    <x v="1"/>
    <n v="440.75"/>
    <n v="9255.75"/>
  </r>
  <r>
    <x v="0"/>
    <s v="695-09-5146"/>
    <x v="2"/>
    <x v="2"/>
    <x v="0"/>
    <x v="3"/>
    <n v="9879"/>
    <x v="5"/>
    <n v="1481.8500000000001"/>
    <n v="31118.85"/>
  </r>
  <r>
    <x v="0"/>
    <s v="155-45-3814"/>
    <x v="1"/>
    <x v="1"/>
    <x v="0"/>
    <x v="1"/>
    <n v="8855"/>
    <x v="7"/>
    <n v="3542"/>
    <n v="74382"/>
  </r>
  <r>
    <x v="0"/>
    <s v="131-15-8856"/>
    <x v="1"/>
    <x v="1"/>
    <x v="0"/>
    <x v="3"/>
    <n v="7252"/>
    <x v="7"/>
    <n v="2900.8"/>
    <n v="60916.800000000003"/>
  </r>
  <r>
    <x v="0"/>
    <s v="859-71-0933"/>
    <x v="1"/>
    <x v="1"/>
    <x v="0"/>
    <x v="5"/>
    <n v="1549"/>
    <x v="4"/>
    <n v="154.9"/>
    <n v="3252.9"/>
  </r>
  <r>
    <x v="0"/>
    <s v="563-47-4072"/>
    <x v="2"/>
    <x v="2"/>
    <x v="1"/>
    <x v="0"/>
    <n v="5581"/>
    <x v="2"/>
    <n v="1674.3000000000002"/>
    <n v="35160.300000000003"/>
  </r>
  <r>
    <x v="0"/>
    <s v="169-52-4504"/>
    <x v="0"/>
    <x v="0"/>
    <x v="1"/>
    <x v="1"/>
    <n v="1569"/>
    <x v="5"/>
    <n v="235.35000000000002"/>
    <n v="4942.3500000000004"/>
  </r>
  <r>
    <x v="0"/>
    <s v="250-81-7186"/>
    <x v="1"/>
    <x v="1"/>
    <x v="1"/>
    <x v="1"/>
    <n v="9969"/>
    <x v="8"/>
    <n v="498.45000000000005"/>
    <n v="10467.450000000001"/>
  </r>
  <r>
    <x v="0"/>
    <s v="562-12-5430"/>
    <x v="0"/>
    <x v="0"/>
    <x v="0"/>
    <x v="4"/>
    <n v="8815"/>
    <x v="5"/>
    <n v="1322.25"/>
    <n v="27767.25"/>
  </r>
  <r>
    <x v="0"/>
    <s v="816-72-8853"/>
    <x v="0"/>
    <x v="0"/>
    <x v="0"/>
    <x v="5"/>
    <n v="2793"/>
    <x v="1"/>
    <n v="698.25"/>
    <n v="14663.25"/>
  </r>
  <r>
    <x v="0"/>
    <s v="322-02-2271"/>
    <x v="2"/>
    <x v="2"/>
    <x v="1"/>
    <x v="5"/>
    <n v="4297"/>
    <x v="5"/>
    <n v="644.55000000000007"/>
    <n v="13535.55"/>
  </r>
  <r>
    <x v="0"/>
    <s v="725-67-2480"/>
    <x v="2"/>
    <x v="2"/>
    <x v="0"/>
    <x v="4"/>
    <n v="5875"/>
    <x v="2"/>
    <n v="1762.5"/>
    <n v="37012.5"/>
  </r>
  <r>
    <x v="0"/>
    <s v="641-51-2661"/>
    <x v="1"/>
    <x v="1"/>
    <x v="0"/>
    <x v="3"/>
    <n v="871"/>
    <x v="3"/>
    <n v="435.5"/>
    <n v="9145.5"/>
  </r>
  <r>
    <x v="0"/>
    <s v="714-02-3114"/>
    <x v="1"/>
    <x v="1"/>
    <x v="1"/>
    <x v="5"/>
    <n v="988"/>
    <x v="4"/>
    <n v="98.800000000000011"/>
    <n v="2074.8000000000002"/>
  </r>
  <r>
    <x v="0"/>
    <s v="518-17-2983"/>
    <x v="0"/>
    <x v="0"/>
    <x v="1"/>
    <x v="4"/>
    <n v="4863"/>
    <x v="6"/>
    <n v="972.6"/>
    <n v="20424.599999999999"/>
  </r>
  <r>
    <x v="0"/>
    <s v="190-14-3147"/>
    <x v="2"/>
    <x v="2"/>
    <x v="1"/>
    <x v="0"/>
    <n v="1797"/>
    <x v="6"/>
    <n v="359.40000000000003"/>
    <n v="7547.4"/>
  </r>
  <r>
    <x v="0"/>
    <s v="408-66-6712"/>
    <x v="1"/>
    <x v="1"/>
    <x v="0"/>
    <x v="0"/>
    <n v="4771"/>
    <x v="2"/>
    <n v="1431.3000000000002"/>
    <n v="30057.3"/>
  </r>
  <r>
    <x v="0"/>
    <s v="679-22-6530"/>
    <x v="2"/>
    <x v="2"/>
    <x v="1"/>
    <x v="5"/>
    <n v="4062"/>
    <x v="4"/>
    <n v="406.20000000000005"/>
    <n v="8530.2000000000007"/>
  </r>
  <r>
    <x v="0"/>
    <s v="576-31-4774"/>
    <x v="2"/>
    <x v="2"/>
    <x v="1"/>
    <x v="0"/>
    <n v="7341"/>
    <x v="5"/>
    <n v="1101.1500000000001"/>
    <n v="23124.15"/>
  </r>
  <r>
    <x v="0"/>
    <s v="811-03-8790"/>
    <x v="0"/>
    <x v="0"/>
    <x v="1"/>
    <x v="1"/>
    <n v="4548"/>
    <x v="3"/>
    <n v="2274"/>
    <n v="47754"/>
  </r>
  <r>
    <x v="0"/>
    <s v="752-23-3760"/>
    <x v="2"/>
    <x v="2"/>
    <x v="0"/>
    <x v="5"/>
    <n v="6408"/>
    <x v="0"/>
    <n v="2242.8000000000002"/>
    <n v="47098.8"/>
  </r>
  <r>
    <x v="0"/>
    <s v="274-05-5470"/>
    <x v="0"/>
    <x v="0"/>
    <x v="0"/>
    <x v="3"/>
    <n v="7347"/>
    <x v="6"/>
    <n v="1469.4"/>
    <n v="30857.4"/>
  </r>
  <r>
    <x v="0"/>
    <s v="528-87-5606"/>
    <x v="2"/>
    <x v="2"/>
    <x v="0"/>
    <x v="1"/>
    <n v="3948"/>
    <x v="8"/>
    <n v="197.4"/>
    <n v="4145.3999999999996"/>
  </r>
  <r>
    <x v="0"/>
    <s v="320-85-2052"/>
    <x v="2"/>
    <x v="2"/>
    <x v="1"/>
    <x v="5"/>
    <n v="3481"/>
    <x v="8"/>
    <n v="174.05"/>
    <n v="3655.05"/>
  </r>
  <r>
    <x v="0"/>
    <s v="370-96-0655"/>
    <x v="1"/>
    <x v="1"/>
    <x v="1"/>
    <x v="4"/>
    <n v="4932"/>
    <x v="2"/>
    <n v="1479.6000000000001"/>
    <n v="31071.599999999999"/>
  </r>
  <r>
    <x v="0"/>
    <s v="510-79-0415"/>
    <x v="2"/>
    <x v="2"/>
    <x v="0"/>
    <x v="5"/>
    <n v="2308"/>
    <x v="2"/>
    <n v="692.40000000000009"/>
    <n v="14540.4"/>
  </r>
  <r>
    <x v="0"/>
    <s v="241-96-5076"/>
    <x v="2"/>
    <x v="2"/>
    <x v="0"/>
    <x v="2"/>
    <n v="491"/>
    <x v="4"/>
    <n v="49.1"/>
    <n v="1031.0999999999999"/>
  </r>
  <r>
    <x v="0"/>
    <s v="767-97-4650"/>
    <x v="2"/>
    <x v="2"/>
    <x v="0"/>
    <x v="5"/>
    <n v="6483"/>
    <x v="4"/>
    <n v="648.30000000000007"/>
    <n v="13614.3"/>
  </r>
  <r>
    <x v="0"/>
    <s v="305-03-2383"/>
    <x v="0"/>
    <x v="0"/>
    <x v="1"/>
    <x v="3"/>
    <n v="671"/>
    <x v="5"/>
    <n v="100.65"/>
    <n v="2113.65"/>
  </r>
  <r>
    <x v="0"/>
    <s v="394-55-6384"/>
    <x v="1"/>
    <x v="1"/>
    <x v="0"/>
    <x v="5"/>
    <n v="7019"/>
    <x v="9"/>
    <n v="3158.55"/>
    <n v="66329.55"/>
  </r>
  <r>
    <x v="0"/>
    <s v="196-01-2849"/>
    <x v="1"/>
    <x v="1"/>
    <x v="0"/>
    <x v="4"/>
    <n v="7338"/>
    <x v="0"/>
    <n v="2568.3000000000002"/>
    <n v="53934.3"/>
  </r>
  <r>
    <x v="0"/>
    <s v="372-62-5264"/>
    <x v="1"/>
    <x v="1"/>
    <x v="1"/>
    <x v="3"/>
    <n v="526"/>
    <x v="9"/>
    <n v="236.70000000000002"/>
    <n v="4970.7"/>
  </r>
  <r>
    <x v="0"/>
    <s v="800-09-8606"/>
    <x v="0"/>
    <x v="0"/>
    <x v="0"/>
    <x v="2"/>
    <n v="8737"/>
    <x v="1"/>
    <n v="2184.25"/>
    <n v="45869.25"/>
  </r>
  <r>
    <x v="0"/>
    <s v="182-52-7000"/>
    <x v="0"/>
    <x v="0"/>
    <x v="0"/>
    <x v="5"/>
    <n v="2704"/>
    <x v="6"/>
    <n v="540.80000000000007"/>
    <n v="11356.8"/>
  </r>
  <r>
    <x v="0"/>
    <s v="626-43-7888"/>
    <x v="1"/>
    <x v="1"/>
    <x v="1"/>
    <x v="4"/>
    <n v="6041"/>
    <x v="7"/>
    <n v="2416.4"/>
    <n v="50744.4"/>
  </r>
  <r>
    <x v="0"/>
    <s v="191-29-0321"/>
    <x v="2"/>
    <x v="2"/>
    <x v="0"/>
    <x v="4"/>
    <n v="1977"/>
    <x v="3"/>
    <n v="988.5"/>
    <n v="20758.5"/>
  </r>
  <r>
    <x v="0"/>
    <s v="640-48-5028"/>
    <x v="2"/>
    <x v="2"/>
    <x v="0"/>
    <x v="2"/>
    <n v="8839"/>
    <x v="9"/>
    <n v="3977.55"/>
    <n v="83528.55"/>
  </r>
  <r>
    <x v="0"/>
    <s v="834-45-5519"/>
    <x v="2"/>
    <x v="2"/>
    <x v="1"/>
    <x v="1"/>
    <n v="43"/>
    <x v="6"/>
    <n v="8.6"/>
    <n v="180.6"/>
  </r>
  <r>
    <x v="0"/>
    <s v="728-88-7867"/>
    <x v="1"/>
    <x v="1"/>
    <x v="0"/>
    <x v="2"/>
    <n v="7553"/>
    <x v="6"/>
    <n v="1510.6000000000001"/>
    <n v="31722.6"/>
  </r>
  <r>
    <x v="0"/>
    <s v="183-21-3799"/>
    <x v="1"/>
    <x v="1"/>
    <x v="1"/>
    <x v="1"/>
    <n v="7763"/>
    <x v="9"/>
    <n v="3493.3500000000004"/>
    <n v="73360.350000000006"/>
  </r>
  <r>
    <x v="0"/>
    <s v="268-20-3585"/>
    <x v="1"/>
    <x v="1"/>
    <x v="1"/>
    <x v="0"/>
    <n v="1385"/>
    <x v="9"/>
    <n v="623.25"/>
    <n v="13088.25"/>
  </r>
  <r>
    <x v="0"/>
    <s v="258-92-7466"/>
    <x v="0"/>
    <x v="0"/>
    <x v="1"/>
    <x v="0"/>
    <n v="3568"/>
    <x v="1"/>
    <n v="892"/>
    <n v="18732"/>
  </r>
  <r>
    <x v="0"/>
    <s v="857-16-3520"/>
    <x v="0"/>
    <x v="0"/>
    <x v="0"/>
    <x v="4"/>
    <n v="7146"/>
    <x v="0"/>
    <n v="2501.1000000000004"/>
    <n v="52523.1"/>
  </r>
  <r>
    <x v="0"/>
    <s v="821-14-9046"/>
    <x v="2"/>
    <x v="2"/>
    <x v="0"/>
    <x v="4"/>
    <n v="1748"/>
    <x v="2"/>
    <n v="524.4"/>
    <n v="11012.4"/>
  </r>
  <r>
    <x v="0"/>
    <s v="418-05-0656"/>
    <x v="2"/>
    <x v="2"/>
    <x v="1"/>
    <x v="4"/>
    <n v="2556"/>
    <x v="0"/>
    <n v="894.6"/>
    <n v="18786.599999999999"/>
  </r>
  <r>
    <x v="0"/>
    <s v="678-79-0726"/>
    <x v="1"/>
    <x v="1"/>
    <x v="0"/>
    <x v="5"/>
    <n v="9063"/>
    <x v="9"/>
    <n v="4078.3500000000004"/>
    <n v="85645.35"/>
  </r>
  <r>
    <x v="0"/>
    <s v="592-46-1692"/>
    <x v="1"/>
    <x v="1"/>
    <x v="0"/>
    <x v="3"/>
    <n v="3677"/>
    <x v="0"/>
    <n v="1286.95"/>
    <n v="27025.95"/>
  </r>
  <r>
    <x v="0"/>
    <s v="149-14-0304"/>
    <x v="1"/>
    <x v="1"/>
    <x v="0"/>
    <x v="0"/>
    <n v="285"/>
    <x v="7"/>
    <n v="114"/>
    <n v="2394"/>
  </r>
  <r>
    <x v="0"/>
    <s v="299-29-0180"/>
    <x v="2"/>
    <x v="2"/>
    <x v="0"/>
    <x v="2"/>
    <n v="5218"/>
    <x v="0"/>
    <n v="1826.3000000000002"/>
    <n v="38352.300000000003"/>
  </r>
  <r>
    <x v="0"/>
    <s v="247-11-2470"/>
    <x v="0"/>
    <x v="0"/>
    <x v="0"/>
    <x v="4"/>
    <n v="2232"/>
    <x v="6"/>
    <n v="446.40000000000003"/>
    <n v="9374.4"/>
  </r>
  <r>
    <x v="0"/>
    <s v="386-27-7606"/>
    <x v="1"/>
    <x v="1"/>
    <x v="0"/>
    <x v="2"/>
    <n v="812"/>
    <x v="0"/>
    <n v="284.2"/>
    <n v="5968.2"/>
  </r>
  <r>
    <x v="0"/>
    <s v="373-14-0504"/>
    <x v="0"/>
    <x v="0"/>
    <x v="0"/>
    <x v="5"/>
    <n v="7163"/>
    <x v="4"/>
    <n v="716.30000000000007"/>
    <n v="15042.3"/>
  </r>
  <r>
    <x v="0"/>
    <s v="345-68-9016"/>
    <x v="1"/>
    <x v="1"/>
    <x v="0"/>
    <x v="5"/>
    <n v="3167"/>
    <x v="7"/>
    <n v="1266.8000000000002"/>
    <n v="26602.799999999999"/>
  </r>
  <r>
    <x v="0"/>
    <s v="390-17-5806"/>
    <x v="1"/>
    <x v="1"/>
    <x v="0"/>
    <x v="3"/>
    <n v="3842"/>
    <x v="8"/>
    <n v="192.10000000000002"/>
    <n v="4034.1"/>
  </r>
  <r>
    <x v="0"/>
    <s v="664-14-2882"/>
    <x v="1"/>
    <x v="1"/>
    <x v="0"/>
    <x v="2"/>
    <n v="1053"/>
    <x v="1"/>
    <n v="263.25"/>
    <n v="5528.25"/>
  </r>
  <r>
    <x v="0"/>
    <s v="487-79-6868"/>
    <x v="2"/>
    <x v="2"/>
    <x v="0"/>
    <x v="2"/>
    <n v="1229"/>
    <x v="9"/>
    <n v="553.05000000000007"/>
    <n v="11614.05"/>
  </r>
  <r>
    <x v="0"/>
    <s v="210-30-7976"/>
    <x v="2"/>
    <x v="2"/>
    <x v="0"/>
    <x v="4"/>
    <n v="2232"/>
    <x v="6"/>
    <n v="446.40000000000003"/>
    <n v="9374.4"/>
  </r>
  <r>
    <x v="0"/>
    <s v="585-86-8361"/>
    <x v="0"/>
    <x v="0"/>
    <x v="1"/>
    <x v="3"/>
    <n v="2728"/>
    <x v="1"/>
    <n v="682"/>
    <n v="14322"/>
  </r>
  <r>
    <x v="0"/>
    <s v="807-14-7833"/>
    <x v="0"/>
    <x v="0"/>
    <x v="0"/>
    <x v="1"/>
    <n v="1742"/>
    <x v="3"/>
    <n v="871"/>
    <n v="18291"/>
  </r>
  <r>
    <x v="0"/>
    <s v="288-38-3758"/>
    <x v="1"/>
    <x v="1"/>
    <x v="0"/>
    <x v="4"/>
    <n v="8487"/>
    <x v="5"/>
    <n v="1273.0500000000002"/>
    <n v="26734.05"/>
  </r>
  <r>
    <x v="0"/>
    <s v="652-43-6591"/>
    <x v="0"/>
    <x v="0"/>
    <x v="1"/>
    <x v="4"/>
    <n v="9729"/>
    <x v="7"/>
    <n v="3891.6000000000004"/>
    <n v="81723.600000000006"/>
  </r>
  <r>
    <x v="0"/>
    <s v="785-96-0615"/>
    <x v="2"/>
    <x v="2"/>
    <x v="0"/>
    <x v="1"/>
    <n v="3574"/>
    <x v="7"/>
    <n v="1429.6000000000001"/>
    <n v="30021.599999999999"/>
  </r>
  <r>
    <x v="0"/>
    <s v="406-46-7107"/>
    <x v="0"/>
    <x v="0"/>
    <x v="1"/>
    <x v="2"/>
    <n v="9652"/>
    <x v="2"/>
    <n v="2895.6000000000004"/>
    <n v="60807.6"/>
  </r>
  <r>
    <x v="0"/>
    <s v="156-95-3964"/>
    <x v="0"/>
    <x v="0"/>
    <x v="1"/>
    <x v="3"/>
    <n v="5539"/>
    <x v="6"/>
    <n v="1107.8"/>
    <n v="23263.8"/>
  </r>
  <r>
    <x v="0"/>
    <s v="842-40-8179"/>
    <x v="2"/>
    <x v="2"/>
    <x v="0"/>
    <x v="3"/>
    <n v="772"/>
    <x v="3"/>
    <n v="386"/>
    <n v="8106"/>
  </r>
  <r>
    <x v="0"/>
    <s v="410-67-1709"/>
    <x v="0"/>
    <x v="0"/>
    <x v="0"/>
    <x v="4"/>
    <n v="6388"/>
    <x v="7"/>
    <n v="2555.2000000000003"/>
    <n v="53659.199999999997"/>
  </r>
  <r>
    <x v="0"/>
    <s v="587-73-4862"/>
    <x v="0"/>
    <x v="0"/>
    <x v="0"/>
    <x v="0"/>
    <n v="1069"/>
    <x v="1"/>
    <n v="267.25"/>
    <n v="5612.25"/>
  </r>
  <r>
    <x v="0"/>
    <s v="593-14-4239"/>
    <x v="2"/>
    <x v="2"/>
    <x v="1"/>
    <x v="2"/>
    <n v="9546"/>
    <x v="7"/>
    <n v="3818.4"/>
    <n v="80186.399999999994"/>
  </r>
  <r>
    <x v="0"/>
    <s v="801-88-0346"/>
    <x v="1"/>
    <x v="1"/>
    <x v="1"/>
    <x v="4"/>
    <n v="7606"/>
    <x v="5"/>
    <n v="1140.9000000000001"/>
    <n v="23958.9"/>
  </r>
  <r>
    <x v="0"/>
    <s v="711-31-1234"/>
    <x v="2"/>
    <x v="2"/>
    <x v="1"/>
    <x v="1"/>
    <n v="9564"/>
    <x v="6"/>
    <n v="1912.8000000000002"/>
    <n v="40168.800000000003"/>
  </r>
  <r>
    <x v="0"/>
    <s v="886-54-6089"/>
    <x v="0"/>
    <x v="0"/>
    <x v="1"/>
    <x v="2"/>
    <n v="1143"/>
    <x v="2"/>
    <n v="342.90000000000003"/>
    <n v="7200.9"/>
  </r>
  <r>
    <x v="0"/>
    <s v="707-32-7409"/>
    <x v="2"/>
    <x v="2"/>
    <x v="0"/>
    <x v="5"/>
    <n v="9554"/>
    <x v="6"/>
    <n v="1910.8000000000002"/>
    <n v="40126.800000000003"/>
  </r>
  <r>
    <x v="0"/>
    <s v="759-98-4285"/>
    <x v="1"/>
    <x v="1"/>
    <x v="0"/>
    <x v="0"/>
    <n v="8587"/>
    <x v="0"/>
    <n v="3005.4500000000003"/>
    <n v="63114.45"/>
  </r>
  <r>
    <x v="0"/>
    <s v="201-63-8275"/>
    <x v="1"/>
    <x v="1"/>
    <x v="0"/>
    <x v="5"/>
    <n v="6799"/>
    <x v="0"/>
    <n v="2379.65"/>
    <n v="49972.65"/>
  </r>
  <r>
    <x v="0"/>
    <s v="471-06-8611"/>
    <x v="1"/>
    <x v="1"/>
    <x v="1"/>
    <x v="3"/>
    <n v="5242"/>
    <x v="8"/>
    <n v="262.10000000000002"/>
    <n v="5504.1"/>
  </r>
  <r>
    <x v="0"/>
    <s v="120-54-2248"/>
    <x v="2"/>
    <x v="2"/>
    <x v="1"/>
    <x v="3"/>
    <n v="2886"/>
    <x v="1"/>
    <n v="721.5"/>
    <n v="15151.5"/>
  </r>
  <r>
    <x v="0"/>
    <s v="534-53-3526"/>
    <x v="0"/>
    <x v="0"/>
    <x v="1"/>
    <x v="5"/>
    <n v="9476"/>
    <x v="6"/>
    <n v="1895.2"/>
    <n v="39799.199999999997"/>
  </r>
  <r>
    <x v="0"/>
    <s v="307-04-2070"/>
    <x v="0"/>
    <x v="0"/>
    <x v="0"/>
    <x v="4"/>
    <n v="3062"/>
    <x v="8"/>
    <n v="153.1"/>
    <n v="3215.1"/>
  </r>
  <r>
    <x v="0"/>
    <s v="468-99-7231"/>
    <x v="1"/>
    <x v="1"/>
    <x v="1"/>
    <x v="2"/>
    <n v="4401"/>
    <x v="7"/>
    <n v="1760.4"/>
    <n v="36968.400000000001"/>
  </r>
  <r>
    <x v="0"/>
    <s v="516-77-6464"/>
    <x v="1"/>
    <x v="1"/>
    <x v="0"/>
    <x v="0"/>
    <n v="1016"/>
    <x v="1"/>
    <n v="254"/>
    <n v="5334"/>
  </r>
  <r>
    <x v="0"/>
    <s v="790-38-4466"/>
    <x v="1"/>
    <x v="1"/>
    <x v="1"/>
    <x v="0"/>
    <n v="1099"/>
    <x v="1"/>
    <n v="274.75"/>
    <n v="5769.75"/>
  </r>
  <r>
    <x v="0"/>
    <s v="744-16-7898"/>
    <x v="2"/>
    <x v="2"/>
    <x v="1"/>
    <x v="2"/>
    <n v="9737"/>
    <x v="3"/>
    <n v="4868.5"/>
    <n v="102238.5"/>
  </r>
  <r>
    <x v="0"/>
    <s v="702-72-0487"/>
    <x v="0"/>
    <x v="0"/>
    <x v="1"/>
    <x v="1"/>
    <n v="4661"/>
    <x v="4"/>
    <n v="466.1"/>
    <n v="9788.1"/>
  </r>
  <r>
    <x v="0"/>
    <s v="443-60-9639"/>
    <x v="1"/>
    <x v="1"/>
    <x v="0"/>
    <x v="2"/>
    <n v="6087"/>
    <x v="8"/>
    <n v="304.35000000000002"/>
    <n v="6391.35"/>
  </r>
  <r>
    <x v="0"/>
    <s v="864-24-7918"/>
    <x v="0"/>
    <x v="0"/>
    <x v="0"/>
    <x v="5"/>
    <n v="2449"/>
    <x v="3"/>
    <n v="1224.5"/>
    <n v="25714.5"/>
  </r>
  <r>
    <x v="0"/>
    <s v="324-41-6833"/>
    <x v="1"/>
    <x v="1"/>
    <x v="0"/>
    <x v="1"/>
    <n v="302"/>
    <x v="7"/>
    <n v="120.80000000000001"/>
    <n v="2536.8000000000002"/>
  </r>
  <r>
    <x v="0"/>
    <s v="759-29-9521"/>
    <x v="0"/>
    <x v="0"/>
    <x v="0"/>
    <x v="4"/>
    <n v="4896"/>
    <x v="9"/>
    <n v="2203.2000000000003"/>
    <n v="46267.199999999997"/>
  </r>
  <r>
    <x v="0"/>
    <s v="831-81-6575"/>
    <x v="2"/>
    <x v="2"/>
    <x v="0"/>
    <x v="1"/>
    <n v="7559"/>
    <x v="9"/>
    <n v="3401.55"/>
    <n v="71432.55"/>
  </r>
  <r>
    <x v="0"/>
    <s v="220-68-6701"/>
    <x v="0"/>
    <x v="0"/>
    <x v="1"/>
    <x v="2"/>
    <n v="7747"/>
    <x v="6"/>
    <n v="1549.4"/>
    <n v="32537.4"/>
  </r>
  <r>
    <x v="0"/>
    <s v="618-34-8551"/>
    <x v="0"/>
    <x v="0"/>
    <x v="1"/>
    <x v="5"/>
    <n v="9318"/>
    <x v="4"/>
    <n v="931.80000000000007"/>
    <n v="19567.8"/>
  </r>
  <r>
    <x v="0"/>
    <s v="257-60-7754"/>
    <x v="0"/>
    <x v="0"/>
    <x v="1"/>
    <x v="1"/>
    <n v="5023"/>
    <x v="6"/>
    <n v="1004.6"/>
    <n v="21096.6"/>
  </r>
  <r>
    <x v="0"/>
    <s v="559-61-5987"/>
    <x v="2"/>
    <x v="2"/>
    <x v="1"/>
    <x v="0"/>
    <n v="1775"/>
    <x v="8"/>
    <n v="88.75"/>
    <n v="1863.75"/>
  </r>
  <r>
    <x v="0"/>
    <s v="189-55-2313"/>
    <x v="1"/>
    <x v="1"/>
    <x v="1"/>
    <x v="4"/>
    <n v="6218"/>
    <x v="3"/>
    <n v="3109"/>
    <n v="65289"/>
  </r>
  <r>
    <x v="0"/>
    <s v="380-60-5336"/>
    <x v="0"/>
    <x v="0"/>
    <x v="1"/>
    <x v="1"/>
    <n v="4026"/>
    <x v="3"/>
    <n v="2013"/>
    <n v="42273"/>
  </r>
  <r>
    <x v="0"/>
    <s v="815-04-6282"/>
    <x v="1"/>
    <x v="1"/>
    <x v="0"/>
    <x v="5"/>
    <n v="6497"/>
    <x v="1"/>
    <n v="1624.25"/>
    <n v="34109.25"/>
  </r>
  <r>
    <x v="0"/>
    <s v="778-34-2523"/>
    <x v="0"/>
    <x v="0"/>
    <x v="0"/>
    <x v="1"/>
    <n v="4862"/>
    <x v="7"/>
    <n v="1944.8000000000002"/>
    <n v="40840.800000000003"/>
  </r>
  <r>
    <x v="0"/>
    <s v="499-27-7781"/>
    <x v="2"/>
    <x v="2"/>
    <x v="1"/>
    <x v="3"/>
    <n v="5321"/>
    <x v="7"/>
    <n v="2128.4"/>
    <n v="44696.4"/>
  </r>
  <r>
    <x v="0"/>
    <s v="477-59-2456"/>
    <x v="1"/>
    <x v="1"/>
    <x v="1"/>
    <x v="4"/>
    <n v="4544"/>
    <x v="0"/>
    <n v="1590.4"/>
    <n v="33398.400000000001"/>
  </r>
  <r>
    <x v="0"/>
    <s v="186-43-8965"/>
    <x v="0"/>
    <x v="0"/>
    <x v="0"/>
    <x v="2"/>
    <n v="4768"/>
    <x v="4"/>
    <n v="476.8"/>
    <n v="10012.799999999999"/>
  </r>
  <r>
    <x v="0"/>
    <s v="276-75-6884"/>
    <x v="0"/>
    <x v="0"/>
    <x v="1"/>
    <x v="0"/>
    <n v="6871"/>
    <x v="5"/>
    <n v="1030.6500000000001"/>
    <n v="21643.65"/>
  </r>
  <r>
    <x v="0"/>
    <s v="109-86-4363"/>
    <x v="2"/>
    <x v="2"/>
    <x v="0"/>
    <x v="5"/>
    <n v="6008"/>
    <x v="0"/>
    <n v="2102.8000000000002"/>
    <n v="44158.8"/>
  </r>
  <r>
    <x v="0"/>
    <s v="569-76-2760"/>
    <x v="0"/>
    <x v="0"/>
    <x v="0"/>
    <x v="5"/>
    <n v="2201"/>
    <x v="6"/>
    <n v="440.20000000000005"/>
    <n v="9244.2000000000007"/>
  </r>
  <r>
    <x v="0"/>
    <s v="222-42-0244"/>
    <x v="2"/>
    <x v="2"/>
    <x v="0"/>
    <x v="0"/>
    <n v="7211"/>
    <x v="9"/>
    <n v="3244.9500000000003"/>
    <n v="68143.95"/>
  </r>
  <r>
    <x v="0"/>
    <s v="416-17-9926"/>
    <x v="0"/>
    <x v="0"/>
    <x v="0"/>
    <x v="1"/>
    <n v="7422"/>
    <x v="3"/>
    <n v="3711"/>
    <n v="77931"/>
  </r>
  <r>
    <x v="0"/>
    <s v="343-75-9322"/>
    <x v="2"/>
    <x v="2"/>
    <x v="0"/>
    <x v="5"/>
    <n v="1185"/>
    <x v="7"/>
    <n v="474"/>
    <n v="9954"/>
  </r>
  <r>
    <x v="0"/>
    <s v="427-45-9297"/>
    <x v="2"/>
    <x v="2"/>
    <x v="0"/>
    <x v="2"/>
    <n v="4073"/>
    <x v="0"/>
    <n v="1425.5500000000002"/>
    <n v="29936.55"/>
  </r>
  <r>
    <x v="0"/>
    <s v="271-77-8740"/>
    <x v="1"/>
    <x v="1"/>
    <x v="0"/>
    <x v="5"/>
    <n v="2922"/>
    <x v="2"/>
    <n v="876.6"/>
    <n v="18408.599999999999"/>
  </r>
  <r>
    <x v="0"/>
    <s v="860-73-6466"/>
    <x v="0"/>
    <x v="0"/>
    <x v="0"/>
    <x v="5"/>
    <n v="3947"/>
    <x v="4"/>
    <n v="394.70000000000005"/>
    <n v="8288.7000000000007"/>
  </r>
  <r>
    <x v="0"/>
    <s v="549-23-9016"/>
    <x v="1"/>
    <x v="1"/>
    <x v="0"/>
    <x v="3"/>
    <n v="1487"/>
    <x v="4"/>
    <n v="148.70000000000002"/>
    <n v="3122.7"/>
  </r>
  <r>
    <x v="0"/>
    <s v="862-29-5914"/>
    <x v="1"/>
    <x v="1"/>
    <x v="1"/>
    <x v="5"/>
    <n v="2238"/>
    <x v="8"/>
    <n v="111.9"/>
    <n v="2349.9"/>
  </r>
  <r>
    <x v="0"/>
    <s v="845-94-6841"/>
    <x v="1"/>
    <x v="1"/>
    <x v="0"/>
    <x v="3"/>
    <n v="7288"/>
    <x v="9"/>
    <n v="3279.6000000000004"/>
    <n v="68871.600000000006"/>
  </r>
  <r>
    <x v="0"/>
    <s v="125-45-2293"/>
    <x v="0"/>
    <x v="0"/>
    <x v="1"/>
    <x v="4"/>
    <n v="991"/>
    <x v="2"/>
    <n v="297.3"/>
    <n v="6243.3"/>
  </r>
  <r>
    <x v="0"/>
    <s v="409-33-9708"/>
    <x v="0"/>
    <x v="0"/>
    <x v="1"/>
    <x v="4"/>
    <n v="9848"/>
    <x v="4"/>
    <n v="984.80000000000007"/>
    <n v="20680.8"/>
  </r>
  <r>
    <x v="0"/>
    <s v="866-70-2814"/>
    <x v="2"/>
    <x v="2"/>
    <x v="1"/>
    <x v="1"/>
    <n v="5279"/>
    <x v="3"/>
    <n v="2639.5"/>
    <n v="55429.5"/>
  </r>
  <r>
    <x v="0"/>
    <s v="160-22-2687"/>
    <x v="0"/>
    <x v="0"/>
    <x v="0"/>
    <x v="0"/>
    <n v="9595"/>
    <x v="1"/>
    <n v="2398.75"/>
    <n v="50373.75"/>
  </r>
  <r>
    <x v="0"/>
    <s v="895-03-6665"/>
    <x v="2"/>
    <x v="2"/>
    <x v="1"/>
    <x v="4"/>
    <n v="3651"/>
    <x v="9"/>
    <n v="1642.95"/>
    <n v="34501.949999999997"/>
  </r>
  <r>
    <x v="0"/>
    <s v="748-45-2862"/>
    <x v="0"/>
    <x v="0"/>
    <x v="0"/>
    <x v="2"/>
    <n v="2831"/>
    <x v="6"/>
    <n v="566.20000000000005"/>
    <n v="11890.2"/>
  </r>
  <r>
    <x v="0"/>
    <s v="316-66-3011"/>
    <x v="0"/>
    <x v="0"/>
    <x v="0"/>
    <x v="3"/>
    <n v="4763"/>
    <x v="9"/>
    <n v="2143.35"/>
    <n v="45010.35"/>
  </r>
  <r>
    <x v="0"/>
    <s v="848-95-6252"/>
    <x v="1"/>
    <x v="1"/>
    <x v="0"/>
    <x v="2"/>
    <n v="8627"/>
    <x v="8"/>
    <n v="431.35"/>
    <n v="9058.35"/>
  </r>
  <r>
    <x v="0"/>
    <s v="152-03-4217"/>
    <x v="2"/>
    <x v="2"/>
    <x v="1"/>
    <x v="2"/>
    <n v="1128"/>
    <x v="9"/>
    <n v="507.6"/>
    <n v="10659.6"/>
  </r>
  <r>
    <x v="0"/>
    <s v="533-66-5566"/>
    <x v="2"/>
    <x v="2"/>
    <x v="1"/>
    <x v="2"/>
    <n v="5107"/>
    <x v="0"/>
    <n v="1787.45"/>
    <n v="37536.449999999997"/>
  </r>
  <r>
    <x v="0"/>
    <s v="124-31-1458"/>
    <x v="0"/>
    <x v="0"/>
    <x v="0"/>
    <x v="1"/>
    <n v="7959"/>
    <x v="5"/>
    <n v="1193.8500000000001"/>
    <n v="25070.85"/>
  </r>
  <r>
    <x v="0"/>
    <s v="101-81-4070"/>
    <x v="1"/>
    <x v="1"/>
    <x v="0"/>
    <x v="0"/>
    <n v="6282"/>
    <x v="4"/>
    <n v="628.20000000000005"/>
    <n v="13192.2"/>
  </r>
  <r>
    <x v="0"/>
    <s v="544-55-9589"/>
    <x v="2"/>
    <x v="2"/>
    <x v="0"/>
    <x v="1"/>
    <n v="2143"/>
    <x v="3"/>
    <n v="1071.5"/>
    <n v="22501.5"/>
  </r>
  <r>
    <x v="0"/>
    <s v="448-61-3783"/>
    <x v="0"/>
    <x v="0"/>
    <x v="1"/>
    <x v="1"/>
    <n v="9002"/>
    <x v="7"/>
    <n v="3600.8"/>
    <n v="75616.800000000003"/>
  </r>
  <r>
    <x v="0"/>
    <s v="761-49-0439"/>
    <x v="2"/>
    <x v="2"/>
    <x v="0"/>
    <x v="1"/>
    <n v="121"/>
    <x v="7"/>
    <n v="48.400000000000006"/>
    <n v="1016.4"/>
  </r>
  <r>
    <x v="0"/>
    <s v="490-95-0021"/>
    <x v="2"/>
    <x v="2"/>
    <x v="0"/>
    <x v="3"/>
    <n v="3321"/>
    <x v="3"/>
    <n v="1660.5"/>
    <n v="34870.5"/>
  </r>
  <r>
    <x v="0"/>
    <s v="115-38-7388"/>
    <x v="1"/>
    <x v="1"/>
    <x v="0"/>
    <x v="4"/>
    <n v="1018"/>
    <x v="7"/>
    <n v="407.20000000000005"/>
    <n v="8551.2000000000007"/>
  </r>
  <r>
    <x v="0"/>
    <s v="291-55-6563"/>
    <x v="0"/>
    <x v="0"/>
    <x v="0"/>
    <x v="2"/>
    <n v="3442"/>
    <x v="2"/>
    <n v="1032.6000000000001"/>
    <n v="21684.6"/>
  </r>
  <r>
    <x v="0"/>
    <s v="548-48-3156"/>
    <x v="0"/>
    <x v="0"/>
    <x v="0"/>
    <x v="3"/>
    <n v="8334"/>
    <x v="4"/>
    <n v="833.40000000000009"/>
    <n v="17501.400000000001"/>
  </r>
  <r>
    <x v="0"/>
    <s v="884-80-6021"/>
    <x v="0"/>
    <x v="0"/>
    <x v="0"/>
    <x v="1"/>
    <n v="7347"/>
    <x v="3"/>
    <n v="3673.5"/>
    <n v="77143.5"/>
  </r>
  <r>
    <x v="0"/>
    <s v="137-74-8729"/>
    <x v="1"/>
    <x v="1"/>
    <x v="1"/>
    <x v="4"/>
    <n v="1219"/>
    <x v="7"/>
    <n v="487.6"/>
    <n v="10239.6"/>
  </r>
  <r>
    <x v="0"/>
    <s v="389-70-2397"/>
    <x v="1"/>
    <x v="1"/>
    <x v="1"/>
    <x v="0"/>
    <n v="8366"/>
    <x v="1"/>
    <n v="2091.5"/>
    <n v="43921.5"/>
  </r>
  <r>
    <x v="0"/>
    <s v="114-35-5271"/>
    <x v="2"/>
    <x v="2"/>
    <x v="1"/>
    <x v="1"/>
    <n v="5791"/>
    <x v="7"/>
    <n v="2316.4"/>
    <n v="48644.4"/>
  </r>
  <r>
    <x v="0"/>
    <s v="607-76-6216"/>
    <x v="1"/>
    <x v="1"/>
    <x v="0"/>
    <x v="4"/>
    <n v="9249"/>
    <x v="1"/>
    <n v="2312.25"/>
    <n v="48557.25"/>
  </r>
  <r>
    <x v="0"/>
    <s v="409-49-6995"/>
    <x v="1"/>
    <x v="1"/>
    <x v="0"/>
    <x v="3"/>
    <n v="4727"/>
    <x v="2"/>
    <n v="1418.1000000000001"/>
    <n v="29780.1"/>
  </r>
  <r>
    <x v="0"/>
    <s v="377-79-7592"/>
    <x v="1"/>
    <x v="1"/>
    <x v="0"/>
    <x v="1"/>
    <n v="4484"/>
    <x v="9"/>
    <n v="2017.8000000000002"/>
    <n v="42373.8"/>
  </r>
  <r>
    <x v="0"/>
    <s v="595-94-9924"/>
    <x v="0"/>
    <x v="0"/>
    <x v="0"/>
    <x v="0"/>
    <n v="2773"/>
    <x v="1"/>
    <n v="693.25"/>
    <n v="14558.25"/>
  </r>
  <r>
    <x v="0"/>
    <s v="545-07-8534"/>
    <x v="1"/>
    <x v="1"/>
    <x v="1"/>
    <x v="0"/>
    <n v="5832"/>
    <x v="4"/>
    <n v="583.20000000000005"/>
    <n v="12247.2"/>
  </r>
  <r>
    <x v="0"/>
    <s v="118-62-1812"/>
    <x v="1"/>
    <x v="1"/>
    <x v="0"/>
    <x v="2"/>
    <n v="7838"/>
    <x v="6"/>
    <n v="1567.6000000000001"/>
    <n v="32919.599999999999"/>
  </r>
  <r>
    <x v="0"/>
    <s v="851-98-3555"/>
    <x v="2"/>
    <x v="2"/>
    <x v="1"/>
    <x v="0"/>
    <n v="8288"/>
    <x v="1"/>
    <n v="2072"/>
    <n v="43512"/>
  </r>
  <r>
    <x v="0"/>
    <s v="186-71-5196"/>
    <x v="0"/>
    <x v="0"/>
    <x v="0"/>
    <x v="3"/>
    <n v="7954"/>
    <x v="4"/>
    <n v="795.40000000000009"/>
    <n v="16703.400000000001"/>
  </r>
  <r>
    <x v="0"/>
    <s v="624-01-8356"/>
    <x v="2"/>
    <x v="2"/>
    <x v="1"/>
    <x v="2"/>
    <n v="4901"/>
    <x v="3"/>
    <n v="2450.5"/>
    <n v="51460.5"/>
  </r>
  <r>
    <x v="0"/>
    <s v="313-66-9943"/>
    <x v="2"/>
    <x v="2"/>
    <x v="0"/>
    <x v="3"/>
    <n v="2915"/>
    <x v="5"/>
    <n v="437.25"/>
    <n v="9182.25"/>
  </r>
  <r>
    <x v="0"/>
    <s v="151-27-8496"/>
    <x v="1"/>
    <x v="1"/>
    <x v="1"/>
    <x v="1"/>
    <n v="5613"/>
    <x v="6"/>
    <n v="1122.6000000000001"/>
    <n v="23574.6"/>
  </r>
  <r>
    <x v="0"/>
    <s v="453-33-6436"/>
    <x v="0"/>
    <x v="0"/>
    <x v="1"/>
    <x v="2"/>
    <n v="9312"/>
    <x v="7"/>
    <n v="3724.8"/>
    <n v="78220.800000000003"/>
  </r>
  <r>
    <x v="0"/>
    <s v="459-45-2396"/>
    <x v="0"/>
    <x v="0"/>
    <x v="0"/>
    <x v="3"/>
    <n v="996"/>
    <x v="5"/>
    <n v="149.4"/>
    <n v="3137.4"/>
  </r>
  <r>
    <x v="0"/>
    <s v="717-96-4189"/>
    <x v="1"/>
    <x v="1"/>
    <x v="1"/>
    <x v="1"/>
    <n v="3549"/>
    <x v="2"/>
    <n v="1064.7"/>
    <n v="22358.7"/>
  </r>
  <r>
    <x v="0"/>
    <s v="749-81-8133"/>
    <x v="0"/>
    <x v="0"/>
    <x v="1"/>
    <x v="4"/>
    <n v="9467"/>
    <x v="6"/>
    <n v="1893.4"/>
    <n v="39761.4"/>
  </r>
  <r>
    <x v="0"/>
    <s v="636-98-3364"/>
    <x v="2"/>
    <x v="2"/>
    <x v="0"/>
    <x v="1"/>
    <n v="2626"/>
    <x v="5"/>
    <n v="393.90000000000003"/>
    <n v="8271.9"/>
  </r>
  <r>
    <x v="0"/>
    <s v="246-55-6923"/>
    <x v="1"/>
    <x v="1"/>
    <x v="0"/>
    <x v="2"/>
    <n v="3579"/>
    <x v="9"/>
    <n v="1610.5500000000002"/>
    <n v="33821.550000000003"/>
  </r>
  <r>
    <x v="0"/>
    <s v="181-82-6255"/>
    <x v="2"/>
    <x v="2"/>
    <x v="1"/>
    <x v="2"/>
    <n v="1637"/>
    <x v="2"/>
    <n v="491.1"/>
    <n v="10313.1"/>
  </r>
  <r>
    <x v="0"/>
    <s v="838-02-1821"/>
    <x v="1"/>
    <x v="1"/>
    <x v="0"/>
    <x v="2"/>
    <n v="1273"/>
    <x v="4"/>
    <n v="127.30000000000001"/>
    <n v="2673.3"/>
  </r>
  <r>
    <x v="0"/>
    <s v="887-42-0517"/>
    <x v="1"/>
    <x v="1"/>
    <x v="1"/>
    <x v="5"/>
    <n v="8314"/>
    <x v="0"/>
    <n v="2909.9"/>
    <n v="61107.9"/>
  </r>
  <r>
    <x v="0"/>
    <s v="457-12-0244"/>
    <x v="1"/>
    <x v="1"/>
    <x v="0"/>
    <x v="5"/>
    <n v="3522"/>
    <x v="2"/>
    <n v="1056.6000000000001"/>
    <n v="22188.6"/>
  </r>
  <r>
    <x v="0"/>
    <s v="226-34-0034"/>
    <x v="2"/>
    <x v="2"/>
    <x v="1"/>
    <x v="1"/>
    <n v="1378"/>
    <x v="6"/>
    <n v="275.60000000000002"/>
    <n v="5787.6"/>
  </r>
  <r>
    <x v="0"/>
    <s v="397-25-8725"/>
    <x v="0"/>
    <x v="0"/>
    <x v="0"/>
    <x v="0"/>
    <n v="3962"/>
    <x v="9"/>
    <n v="1782.9"/>
    <n v="37440.9"/>
  </r>
  <r>
    <x v="0"/>
    <s v="431-66-2305"/>
    <x v="2"/>
    <x v="2"/>
    <x v="1"/>
    <x v="1"/>
    <n v="8825"/>
    <x v="9"/>
    <n v="3971.25"/>
    <n v="83396.25"/>
  </r>
  <r>
    <x v="0"/>
    <s v="756-93-1854"/>
    <x v="1"/>
    <x v="1"/>
    <x v="0"/>
    <x v="4"/>
    <n v="8335"/>
    <x v="4"/>
    <n v="833.5"/>
    <n v="17503.5"/>
  </r>
  <r>
    <x v="0"/>
    <s v="243-55-8457"/>
    <x v="0"/>
    <x v="0"/>
    <x v="1"/>
    <x v="3"/>
    <n v="7444"/>
    <x v="3"/>
    <n v="3722"/>
    <n v="78162"/>
  </r>
  <r>
    <x v="0"/>
    <s v="501-61-1753"/>
    <x v="2"/>
    <x v="2"/>
    <x v="1"/>
    <x v="2"/>
    <n v="6315"/>
    <x v="2"/>
    <n v="1894.5"/>
    <n v="39784.5"/>
  </r>
  <r>
    <x v="0"/>
    <s v="433-08-7822"/>
    <x v="1"/>
    <x v="1"/>
    <x v="1"/>
    <x v="0"/>
    <n v="7889"/>
    <x v="0"/>
    <n v="2761.15"/>
    <n v="57984.15"/>
  </r>
  <r>
    <x v="0"/>
    <s v="361-85-2571"/>
    <x v="0"/>
    <x v="0"/>
    <x v="1"/>
    <x v="5"/>
    <n v="8948"/>
    <x v="1"/>
    <n v="2237"/>
    <n v="46977"/>
  </r>
  <r>
    <x v="0"/>
    <s v="131-70-8179"/>
    <x v="0"/>
    <x v="0"/>
    <x v="0"/>
    <x v="0"/>
    <n v="9209"/>
    <x v="5"/>
    <n v="1381.3500000000001"/>
    <n v="29008.35"/>
  </r>
  <r>
    <x v="0"/>
    <s v="500-02-2261"/>
    <x v="1"/>
    <x v="1"/>
    <x v="1"/>
    <x v="3"/>
    <n v="5729"/>
    <x v="2"/>
    <n v="1718.7"/>
    <n v="36092.699999999997"/>
  </r>
  <r>
    <x v="0"/>
    <s v="809-69-9497"/>
    <x v="0"/>
    <x v="0"/>
    <x v="1"/>
    <x v="2"/>
    <n v="4568"/>
    <x v="3"/>
    <n v="2284"/>
    <n v="47964"/>
  </r>
  <r>
    <x v="0"/>
    <s v="489-82-1237"/>
    <x v="0"/>
    <x v="0"/>
    <x v="1"/>
    <x v="1"/>
    <n v="9388"/>
    <x v="0"/>
    <n v="3285.8"/>
    <n v="69001.8"/>
  </r>
  <r>
    <x v="0"/>
    <s v="365-16-4334"/>
    <x v="2"/>
    <x v="2"/>
    <x v="1"/>
    <x v="3"/>
    <n v="2643"/>
    <x v="7"/>
    <n v="1057.2"/>
    <n v="22201.200000000001"/>
  </r>
  <r>
    <x v="0"/>
    <s v="305-89-2768"/>
    <x v="2"/>
    <x v="2"/>
    <x v="0"/>
    <x v="2"/>
    <n v="219"/>
    <x v="5"/>
    <n v="32.85"/>
    <n v="689.85"/>
  </r>
  <r>
    <x v="0"/>
    <s v="574-80-1489"/>
    <x v="2"/>
    <x v="2"/>
    <x v="0"/>
    <x v="3"/>
    <n v="6285"/>
    <x v="6"/>
    <n v="1257"/>
    <n v="26397"/>
  </r>
  <r>
    <x v="0"/>
    <s v="784-08-0310"/>
    <x v="1"/>
    <x v="1"/>
    <x v="0"/>
    <x v="3"/>
    <n v="2104"/>
    <x v="6"/>
    <n v="420.8"/>
    <n v="8836.7999999999993"/>
  </r>
  <r>
    <x v="0"/>
    <s v="846-10-0341"/>
    <x v="0"/>
    <x v="0"/>
    <x v="1"/>
    <x v="4"/>
    <n v="4257"/>
    <x v="0"/>
    <n v="1489.95"/>
    <n v="31288.95"/>
  </r>
  <r>
    <x v="0"/>
    <s v="867-47-1948"/>
    <x v="1"/>
    <x v="1"/>
    <x v="1"/>
    <x v="2"/>
    <n v="158"/>
    <x v="3"/>
    <n v="79"/>
    <n v="1659"/>
  </r>
  <r>
    <x v="0"/>
    <s v="384-59-6655"/>
    <x v="0"/>
    <x v="0"/>
    <x v="0"/>
    <x v="3"/>
    <n v="9866"/>
    <x v="9"/>
    <n v="4439.7"/>
    <n v="93233.7"/>
  </r>
  <r>
    <x v="0"/>
    <s v="593-08-5916"/>
    <x v="0"/>
    <x v="0"/>
    <x v="1"/>
    <x v="4"/>
    <n v="155"/>
    <x v="8"/>
    <n v="7.75"/>
    <n v="162.75"/>
  </r>
  <r>
    <x v="0"/>
    <s v="172-42-8274"/>
    <x v="2"/>
    <x v="2"/>
    <x v="1"/>
    <x v="1"/>
    <n v="3827"/>
    <x v="4"/>
    <n v="382.70000000000005"/>
    <n v="8036.7"/>
  </r>
  <r>
    <x v="0"/>
    <s v="558-60-5016"/>
    <x v="0"/>
    <x v="0"/>
    <x v="1"/>
    <x v="2"/>
    <n v="333"/>
    <x v="9"/>
    <n v="149.85"/>
    <n v="3146.85"/>
  </r>
  <r>
    <x v="0"/>
    <s v="605-03-2706"/>
    <x v="0"/>
    <x v="0"/>
    <x v="1"/>
    <x v="0"/>
    <n v="158"/>
    <x v="5"/>
    <n v="23.700000000000003"/>
    <n v="497.7"/>
  </r>
  <r>
    <x v="0"/>
    <s v="214-30-2776"/>
    <x v="2"/>
    <x v="2"/>
    <x v="0"/>
    <x v="1"/>
    <n v="3449"/>
    <x v="1"/>
    <n v="862.25"/>
    <n v="18107.25"/>
  </r>
  <r>
    <x v="0"/>
    <s v="746-04-1077"/>
    <x v="2"/>
    <x v="2"/>
    <x v="0"/>
    <x v="3"/>
    <n v="8463"/>
    <x v="3"/>
    <n v="4231.5"/>
    <n v="88861.5"/>
  </r>
  <r>
    <x v="0"/>
    <s v="221-25-5073"/>
    <x v="0"/>
    <x v="0"/>
    <x v="1"/>
    <x v="3"/>
    <n v="7466"/>
    <x v="6"/>
    <n v="1493.2"/>
    <n v="31357.200000000001"/>
  </r>
  <r>
    <x v="0"/>
    <s v="156-20-0370"/>
    <x v="2"/>
    <x v="2"/>
    <x v="1"/>
    <x v="1"/>
    <n v="2545"/>
    <x v="8"/>
    <n v="127.25"/>
    <n v="2672.25"/>
  </r>
  <r>
    <x v="0"/>
    <s v="151-33-7434"/>
    <x v="2"/>
    <x v="2"/>
    <x v="1"/>
    <x v="3"/>
    <n v="6777"/>
    <x v="8"/>
    <n v="338.85"/>
    <n v="7115.85"/>
  </r>
  <r>
    <x v="0"/>
    <s v="139-32-4183"/>
    <x v="0"/>
    <x v="0"/>
    <x v="0"/>
    <x v="5"/>
    <n v="9748"/>
    <x v="9"/>
    <n v="4386.6000000000004"/>
    <n v="92118.6"/>
  </r>
  <r>
    <x v="0"/>
    <s v="374-38-5555"/>
    <x v="2"/>
    <x v="2"/>
    <x v="1"/>
    <x v="4"/>
    <n v="6371"/>
    <x v="1"/>
    <n v="1592.75"/>
    <n v="33447.75"/>
  </r>
  <r>
    <x v="0"/>
    <s v="764-44-8999"/>
    <x v="2"/>
    <x v="2"/>
    <x v="1"/>
    <x v="0"/>
    <n v="1476"/>
    <x v="4"/>
    <n v="147.6"/>
    <n v="3099.6"/>
  </r>
  <r>
    <x v="0"/>
    <s v="886-18-2897"/>
    <x v="0"/>
    <x v="0"/>
    <x v="1"/>
    <x v="3"/>
    <n v="5656"/>
    <x v="1"/>
    <n v="1414"/>
    <n v="29694"/>
  </r>
  <r>
    <x v="0"/>
    <s v="602-16-6955"/>
    <x v="2"/>
    <x v="2"/>
    <x v="1"/>
    <x v="5"/>
    <n v="766"/>
    <x v="3"/>
    <n v="383"/>
    <n v="8043"/>
  </r>
  <r>
    <x v="0"/>
    <s v="652-49-6720"/>
    <x v="1"/>
    <x v="1"/>
    <x v="0"/>
    <x v="1"/>
    <n v="6095"/>
    <x v="8"/>
    <n v="304.75"/>
    <n v="6399.75"/>
  </r>
  <r>
    <x v="0"/>
    <s v="303-96-2227"/>
    <x v="2"/>
    <x v="2"/>
    <x v="1"/>
    <x v="2"/>
    <n v="9738"/>
    <x v="3"/>
    <n v="4869"/>
    <n v="102249"/>
  </r>
  <r>
    <x v="0"/>
    <s v="849-09-3807"/>
    <x v="0"/>
    <x v="0"/>
    <x v="0"/>
    <x v="4"/>
    <n v="8834"/>
    <x v="0"/>
    <n v="3091.9"/>
    <n v="64929.9"/>
  </r>
  <r>
    <x v="1"/>
    <s v="631-41-3108"/>
    <x v="0"/>
    <x v="0"/>
    <x v="1"/>
    <x v="2"/>
    <n v="4633"/>
    <x v="0"/>
    <n v="1621.5500000000002"/>
    <n v="34052.550000000003"/>
  </r>
  <r>
    <x v="1"/>
    <s v="123-19-1176"/>
    <x v="0"/>
    <x v="0"/>
    <x v="0"/>
    <x v="0"/>
    <n v="5822"/>
    <x v="7"/>
    <n v="2328.8000000000002"/>
    <n v="48904.800000000003"/>
  </r>
  <r>
    <x v="1"/>
    <s v="373-73-7910"/>
    <x v="0"/>
    <x v="0"/>
    <x v="1"/>
    <x v="5"/>
    <n v="8631"/>
    <x v="0"/>
    <n v="3020.8500000000004"/>
    <n v="63437.85"/>
  </r>
  <r>
    <x v="1"/>
    <s v="699-14-3026"/>
    <x v="1"/>
    <x v="1"/>
    <x v="1"/>
    <x v="1"/>
    <n v="8539"/>
    <x v="0"/>
    <n v="2988.65"/>
    <n v="62761.65"/>
  </r>
  <r>
    <x v="1"/>
    <s v="529-56-3974"/>
    <x v="2"/>
    <x v="2"/>
    <x v="0"/>
    <x v="1"/>
    <n v="2551"/>
    <x v="6"/>
    <n v="510.20000000000005"/>
    <n v="10714.2"/>
  </r>
  <r>
    <x v="1"/>
    <s v="252-56-2699"/>
    <x v="0"/>
    <x v="0"/>
    <x v="1"/>
    <x v="3"/>
    <n v="4319"/>
    <x v="3"/>
    <n v="2159.5"/>
    <n v="45349.5"/>
  </r>
  <r>
    <x v="1"/>
    <s v="765-26-6951"/>
    <x v="0"/>
    <x v="0"/>
    <x v="1"/>
    <x v="5"/>
    <n v="7261"/>
    <x v="2"/>
    <n v="2178.3000000000002"/>
    <n v="45744.3"/>
  </r>
  <r>
    <x v="1"/>
    <s v="329-62-1586"/>
    <x v="0"/>
    <x v="0"/>
    <x v="1"/>
    <x v="3"/>
    <n v="5467"/>
    <x v="5"/>
    <n v="820.05000000000007"/>
    <n v="17221.05"/>
  </r>
  <r>
    <x v="1"/>
    <s v="300-71-4605"/>
    <x v="1"/>
    <x v="1"/>
    <x v="0"/>
    <x v="1"/>
    <n v="8604"/>
    <x v="1"/>
    <n v="2151"/>
    <n v="45171"/>
  </r>
  <r>
    <x v="1"/>
    <s v="371-85-5789"/>
    <x v="2"/>
    <x v="2"/>
    <x v="1"/>
    <x v="0"/>
    <n v="8798"/>
    <x v="5"/>
    <n v="1319.7"/>
    <n v="27713.7"/>
  </r>
  <r>
    <x v="1"/>
    <s v="273-16-6619"/>
    <x v="2"/>
    <x v="2"/>
    <x v="1"/>
    <x v="2"/>
    <n v="332"/>
    <x v="4"/>
    <n v="33.200000000000003"/>
    <n v="697.2"/>
  </r>
  <r>
    <x v="1"/>
    <s v="636-48-8204"/>
    <x v="0"/>
    <x v="0"/>
    <x v="1"/>
    <x v="1"/>
    <n v="3456"/>
    <x v="1"/>
    <n v="864"/>
    <n v="18144"/>
  </r>
  <r>
    <x v="1"/>
    <s v="549-59-1358"/>
    <x v="0"/>
    <x v="0"/>
    <x v="0"/>
    <x v="5"/>
    <n v="8863"/>
    <x v="5"/>
    <n v="1329.45"/>
    <n v="27918.45"/>
  </r>
  <r>
    <x v="1"/>
    <s v="649-29-6775"/>
    <x v="2"/>
    <x v="2"/>
    <x v="1"/>
    <x v="4"/>
    <n v="3352"/>
    <x v="8"/>
    <n v="167.60000000000002"/>
    <n v="3519.6"/>
  </r>
  <r>
    <x v="1"/>
    <s v="848-62-7243"/>
    <x v="0"/>
    <x v="0"/>
    <x v="1"/>
    <x v="0"/>
    <n v="2489"/>
    <x v="9"/>
    <n v="1120.05"/>
    <n v="23521.05"/>
  </r>
  <r>
    <x v="1"/>
    <s v="871-79-8483"/>
    <x v="2"/>
    <x v="2"/>
    <x v="1"/>
    <x v="4"/>
    <n v="9413"/>
    <x v="1"/>
    <n v="2353.25"/>
    <n v="49418.25"/>
  </r>
  <r>
    <x v="1"/>
    <s v="149-71-6266"/>
    <x v="2"/>
    <x v="2"/>
    <x v="0"/>
    <x v="5"/>
    <n v="7807"/>
    <x v="9"/>
    <n v="3513.15"/>
    <n v="73776.149999999994"/>
  </r>
  <r>
    <x v="1"/>
    <s v="640-49-2076"/>
    <x v="2"/>
    <x v="2"/>
    <x v="1"/>
    <x v="5"/>
    <n v="8378"/>
    <x v="7"/>
    <n v="3351.2000000000003"/>
    <n v="70375.199999999997"/>
  </r>
  <r>
    <x v="1"/>
    <s v="595-11-5460"/>
    <x v="0"/>
    <x v="0"/>
    <x v="1"/>
    <x v="0"/>
    <n v="9658"/>
    <x v="4"/>
    <n v="965.80000000000007"/>
    <n v="20281.8"/>
  </r>
  <r>
    <x v="1"/>
    <s v="129-29-8530"/>
    <x v="0"/>
    <x v="0"/>
    <x v="0"/>
    <x v="5"/>
    <n v="6262"/>
    <x v="1"/>
    <n v="1565.5"/>
    <n v="32875.5"/>
  </r>
  <r>
    <x v="1"/>
    <s v="777-82-7220"/>
    <x v="2"/>
    <x v="2"/>
    <x v="0"/>
    <x v="2"/>
    <n v="3012"/>
    <x v="7"/>
    <n v="1204.8"/>
    <n v="25300.799999999999"/>
  </r>
  <r>
    <x v="1"/>
    <s v="554-53-8700"/>
    <x v="1"/>
    <x v="1"/>
    <x v="0"/>
    <x v="2"/>
    <n v="5611"/>
    <x v="4"/>
    <n v="561.1"/>
    <n v="11783.1"/>
  </r>
  <r>
    <x v="1"/>
    <s v="617-15-4209"/>
    <x v="1"/>
    <x v="1"/>
    <x v="0"/>
    <x v="0"/>
    <n v="1537"/>
    <x v="4"/>
    <n v="153.70000000000002"/>
    <n v="3227.7"/>
  </r>
  <r>
    <x v="1"/>
    <s v="370-41-7321"/>
    <x v="2"/>
    <x v="2"/>
    <x v="0"/>
    <x v="0"/>
    <n v="5669"/>
    <x v="9"/>
    <n v="2551.0500000000002"/>
    <n v="53572.05"/>
  </r>
  <r>
    <x v="1"/>
    <s v="669-54-1719"/>
    <x v="2"/>
    <x v="2"/>
    <x v="0"/>
    <x v="1"/>
    <n v="1893"/>
    <x v="2"/>
    <n v="567.9"/>
    <n v="11925.9"/>
  </r>
  <r>
    <x v="1"/>
    <s v="326-78-5178"/>
    <x v="1"/>
    <x v="1"/>
    <x v="0"/>
    <x v="3"/>
    <n v="914"/>
    <x v="0"/>
    <n v="319.90000000000003"/>
    <n v="6717.9"/>
  </r>
  <r>
    <x v="1"/>
    <s v="778-71-5554"/>
    <x v="1"/>
    <x v="1"/>
    <x v="0"/>
    <x v="4"/>
    <n v="1543"/>
    <x v="8"/>
    <n v="77.150000000000006"/>
    <n v="1620.15"/>
  </r>
  <r>
    <x v="1"/>
    <s v="242-55-6721"/>
    <x v="2"/>
    <x v="2"/>
    <x v="1"/>
    <x v="2"/>
    <n v="1616"/>
    <x v="4"/>
    <n v="161.60000000000002"/>
    <n v="3393.6"/>
  </r>
  <r>
    <x v="1"/>
    <s v="106-35-6779"/>
    <x v="0"/>
    <x v="0"/>
    <x v="0"/>
    <x v="2"/>
    <n v="4434"/>
    <x v="4"/>
    <n v="443.40000000000003"/>
    <n v="9311.4"/>
  </r>
  <r>
    <x v="1"/>
    <s v="635-40-6220"/>
    <x v="0"/>
    <x v="0"/>
    <x v="1"/>
    <x v="0"/>
    <n v="896"/>
    <x v="7"/>
    <n v="358.40000000000003"/>
    <n v="7526.4"/>
  </r>
  <r>
    <x v="1"/>
    <s v="120-06-4233"/>
    <x v="1"/>
    <x v="1"/>
    <x v="1"/>
    <x v="1"/>
    <n v="3061"/>
    <x v="2"/>
    <n v="918.30000000000007"/>
    <n v="19284.3"/>
  </r>
  <r>
    <x v="1"/>
    <s v="803-83-5989"/>
    <x v="1"/>
    <x v="1"/>
    <x v="1"/>
    <x v="2"/>
    <n v="5573"/>
    <x v="2"/>
    <n v="1671.9"/>
    <n v="35109.9"/>
  </r>
  <r>
    <x v="1"/>
    <s v="199-75-8169"/>
    <x v="0"/>
    <x v="0"/>
    <x v="0"/>
    <x v="5"/>
    <n v="1581"/>
    <x v="3"/>
    <n v="790.5"/>
    <n v="16600.5"/>
  </r>
  <r>
    <x v="1"/>
    <s v="853-23-2453"/>
    <x v="2"/>
    <x v="2"/>
    <x v="0"/>
    <x v="0"/>
    <n v="7574"/>
    <x v="6"/>
    <n v="1514.8000000000002"/>
    <n v="31810.799999999999"/>
  </r>
  <r>
    <x v="1"/>
    <s v="877-22-3308"/>
    <x v="0"/>
    <x v="0"/>
    <x v="0"/>
    <x v="0"/>
    <n v="1587"/>
    <x v="3"/>
    <n v="793.5"/>
    <n v="16663.5"/>
  </r>
  <r>
    <x v="1"/>
    <s v="232-11-3025"/>
    <x v="0"/>
    <x v="0"/>
    <x v="1"/>
    <x v="5"/>
    <n v="7877"/>
    <x v="3"/>
    <n v="3938.5"/>
    <n v="82708.5"/>
  </r>
  <r>
    <x v="1"/>
    <s v="393-65-2792"/>
    <x v="1"/>
    <x v="1"/>
    <x v="1"/>
    <x v="3"/>
    <n v="8948"/>
    <x v="3"/>
    <n v="4474"/>
    <n v="93954"/>
  </r>
  <r>
    <x v="1"/>
    <s v="796-12-2025"/>
    <x v="1"/>
    <x v="1"/>
    <x v="1"/>
    <x v="4"/>
    <n v="6212"/>
    <x v="3"/>
    <n v="3106"/>
    <n v="65226"/>
  </r>
  <r>
    <x v="1"/>
    <s v="287-21-9091"/>
    <x v="0"/>
    <x v="0"/>
    <x v="1"/>
    <x v="2"/>
    <n v="7467"/>
    <x v="9"/>
    <n v="3360.15"/>
    <n v="70563.149999999994"/>
  </r>
  <r>
    <x v="1"/>
    <s v="263-10-3913"/>
    <x v="1"/>
    <x v="1"/>
    <x v="0"/>
    <x v="4"/>
    <n v="4904"/>
    <x v="9"/>
    <n v="2206.8000000000002"/>
    <n v="46342.8"/>
  </r>
  <r>
    <x v="1"/>
    <s v="480-63-2856"/>
    <x v="1"/>
    <x v="1"/>
    <x v="1"/>
    <x v="3"/>
    <n v="1925"/>
    <x v="7"/>
    <n v="770"/>
    <n v="16170"/>
  </r>
  <r>
    <x v="1"/>
    <s v="360-39-5055"/>
    <x v="1"/>
    <x v="1"/>
    <x v="0"/>
    <x v="5"/>
    <n v="4891"/>
    <x v="1"/>
    <n v="1222.75"/>
    <n v="25677.75"/>
  </r>
  <r>
    <x v="1"/>
    <s v="362-58-8315"/>
    <x v="1"/>
    <x v="1"/>
    <x v="1"/>
    <x v="4"/>
    <n v="7652"/>
    <x v="1"/>
    <n v="1913"/>
    <n v="40173"/>
  </r>
  <r>
    <x v="1"/>
    <s v="633-44-8566"/>
    <x v="0"/>
    <x v="0"/>
    <x v="0"/>
    <x v="3"/>
    <n v="4938"/>
    <x v="0"/>
    <n v="1728.3000000000002"/>
    <n v="36294.300000000003"/>
  </r>
  <r>
    <x v="1"/>
    <s v="504-35-8843"/>
    <x v="0"/>
    <x v="0"/>
    <x v="1"/>
    <x v="5"/>
    <n v="4247"/>
    <x v="8"/>
    <n v="212.35000000000002"/>
    <n v="4459.3500000000004"/>
  </r>
  <r>
    <x v="1"/>
    <s v="152-08-9985"/>
    <x v="2"/>
    <x v="2"/>
    <x v="0"/>
    <x v="0"/>
    <n v="6436"/>
    <x v="9"/>
    <n v="2896.2000000000003"/>
    <n v="60820.2"/>
  </r>
  <r>
    <x v="1"/>
    <s v="512-91-0811"/>
    <x v="1"/>
    <x v="1"/>
    <x v="1"/>
    <x v="0"/>
    <n v="8975"/>
    <x v="8"/>
    <n v="448.75"/>
    <n v="9423.75"/>
  </r>
  <r>
    <x v="1"/>
    <s v="594-34-4444"/>
    <x v="0"/>
    <x v="0"/>
    <x v="1"/>
    <x v="1"/>
    <n v="9716"/>
    <x v="8"/>
    <n v="485.8"/>
    <n v="10201.799999999999"/>
  </r>
  <r>
    <x v="1"/>
    <s v="766-85-7061"/>
    <x v="2"/>
    <x v="2"/>
    <x v="1"/>
    <x v="0"/>
    <n v="8787"/>
    <x v="3"/>
    <n v="4393.5"/>
    <n v="92263.5"/>
  </r>
  <r>
    <x v="1"/>
    <s v="865-92-6136"/>
    <x v="0"/>
    <x v="0"/>
    <x v="1"/>
    <x v="3"/>
    <n v="5275"/>
    <x v="5"/>
    <n v="791.25"/>
    <n v="16616.25"/>
  </r>
  <r>
    <x v="1"/>
    <s v="733-01-9107"/>
    <x v="2"/>
    <x v="2"/>
    <x v="1"/>
    <x v="2"/>
    <n v="827"/>
    <x v="2"/>
    <n v="248.10000000000002"/>
    <n v="5210.1000000000004"/>
  </r>
  <r>
    <x v="1"/>
    <s v="163-56-7055"/>
    <x v="1"/>
    <x v="1"/>
    <x v="0"/>
    <x v="4"/>
    <n v="4871"/>
    <x v="8"/>
    <n v="243.55"/>
    <n v="5114.55"/>
  </r>
  <r>
    <x v="1"/>
    <s v="189-98-2939"/>
    <x v="1"/>
    <x v="1"/>
    <x v="1"/>
    <x v="4"/>
    <n v="7855"/>
    <x v="9"/>
    <n v="3534.75"/>
    <n v="74229.75"/>
  </r>
  <r>
    <x v="1"/>
    <s v="212-62-1842"/>
    <x v="0"/>
    <x v="0"/>
    <x v="1"/>
    <x v="3"/>
    <n v="5826"/>
    <x v="2"/>
    <n v="1747.8000000000002"/>
    <n v="36703.800000000003"/>
  </r>
  <r>
    <x v="1"/>
    <s v="716-39-1409"/>
    <x v="2"/>
    <x v="2"/>
    <x v="1"/>
    <x v="0"/>
    <n v="3035"/>
    <x v="0"/>
    <n v="1062.25"/>
    <n v="22307.25"/>
  </r>
  <r>
    <x v="1"/>
    <s v="704-48-3927"/>
    <x v="0"/>
    <x v="0"/>
    <x v="0"/>
    <x v="1"/>
    <n v="8867"/>
    <x v="3"/>
    <n v="4433.5"/>
    <n v="93103.5"/>
  </r>
  <r>
    <x v="1"/>
    <s v="628-34-3388"/>
    <x v="1"/>
    <x v="1"/>
    <x v="1"/>
    <x v="4"/>
    <n v="2738"/>
    <x v="2"/>
    <n v="821.40000000000009"/>
    <n v="17249.400000000001"/>
  </r>
  <r>
    <x v="1"/>
    <s v="630-74-5166"/>
    <x v="0"/>
    <x v="0"/>
    <x v="1"/>
    <x v="5"/>
    <n v="6213"/>
    <x v="2"/>
    <n v="1863.9"/>
    <n v="39141.9"/>
  </r>
  <r>
    <x v="1"/>
    <s v="861-77-0145"/>
    <x v="1"/>
    <x v="1"/>
    <x v="0"/>
    <x v="1"/>
    <n v="8197"/>
    <x v="3"/>
    <n v="4098.5"/>
    <n v="86068.5"/>
  </r>
  <r>
    <x v="1"/>
    <s v="645-44-1170"/>
    <x v="0"/>
    <x v="0"/>
    <x v="0"/>
    <x v="2"/>
    <n v="5807"/>
    <x v="9"/>
    <n v="2613.15"/>
    <n v="54876.15"/>
  </r>
  <r>
    <x v="1"/>
    <s v="291-32-1427"/>
    <x v="2"/>
    <x v="2"/>
    <x v="0"/>
    <x v="4"/>
    <n v="2194"/>
    <x v="1"/>
    <n v="548.5"/>
    <n v="11518.5"/>
  </r>
  <r>
    <x v="1"/>
    <s v="659-65-8956"/>
    <x v="2"/>
    <x v="2"/>
    <x v="0"/>
    <x v="4"/>
    <n v="5136"/>
    <x v="8"/>
    <n v="256.8"/>
    <n v="5392.8"/>
  </r>
  <r>
    <x v="1"/>
    <s v="378-24-2715"/>
    <x v="2"/>
    <x v="2"/>
    <x v="1"/>
    <x v="2"/>
    <n v="5344"/>
    <x v="4"/>
    <n v="534.4"/>
    <n v="11222.4"/>
  </r>
  <r>
    <x v="1"/>
    <s v="659-36-1684"/>
    <x v="1"/>
    <x v="1"/>
    <x v="0"/>
    <x v="5"/>
    <n v="5712"/>
    <x v="0"/>
    <n v="1999.2"/>
    <n v="41983.199999999997"/>
  </r>
  <r>
    <x v="1"/>
    <s v="219-22-9386"/>
    <x v="2"/>
    <x v="2"/>
    <x v="0"/>
    <x v="5"/>
    <n v="9996"/>
    <x v="9"/>
    <n v="4498.2"/>
    <n v="94462.2"/>
  </r>
  <r>
    <x v="1"/>
    <s v="336-78-2147"/>
    <x v="1"/>
    <x v="1"/>
    <x v="0"/>
    <x v="2"/>
    <n v="6391"/>
    <x v="7"/>
    <n v="2556.4"/>
    <n v="53684.4"/>
  </r>
  <r>
    <x v="1"/>
    <s v="590-83-4591"/>
    <x v="2"/>
    <x v="2"/>
    <x v="0"/>
    <x v="1"/>
    <n v="8745"/>
    <x v="2"/>
    <n v="2623.5"/>
    <n v="55093.5"/>
  </r>
  <r>
    <x v="1"/>
    <s v="597-78-7908"/>
    <x v="1"/>
    <x v="1"/>
    <x v="1"/>
    <x v="4"/>
    <n v="9022"/>
    <x v="5"/>
    <n v="1353.3000000000002"/>
    <n v="28419.3"/>
  </r>
  <r>
    <x v="1"/>
    <s v="241-72-9525"/>
    <x v="2"/>
    <x v="2"/>
    <x v="1"/>
    <x v="5"/>
    <n v="5191"/>
    <x v="3"/>
    <n v="2595.5"/>
    <n v="54505.5"/>
  </r>
  <r>
    <x v="1"/>
    <s v="575-30-8091"/>
    <x v="0"/>
    <x v="0"/>
    <x v="1"/>
    <x v="5"/>
    <n v="725"/>
    <x v="7"/>
    <n v="290"/>
    <n v="6090"/>
  </r>
  <r>
    <x v="1"/>
    <s v="280-17-4359"/>
    <x v="1"/>
    <x v="1"/>
    <x v="0"/>
    <x v="0"/>
    <n v="905"/>
    <x v="3"/>
    <n v="452.5"/>
    <n v="9502.5"/>
  </r>
  <r>
    <x v="1"/>
    <s v="568-90-5112"/>
    <x v="1"/>
    <x v="1"/>
    <x v="1"/>
    <x v="0"/>
    <n v="6614"/>
    <x v="6"/>
    <n v="1322.8000000000002"/>
    <n v="27778.799999999999"/>
  </r>
  <r>
    <x v="1"/>
    <s v="262-47-2794"/>
    <x v="2"/>
    <x v="2"/>
    <x v="0"/>
    <x v="2"/>
    <n v="7186"/>
    <x v="7"/>
    <n v="2874.4"/>
    <n v="60362.400000000001"/>
  </r>
  <r>
    <x v="1"/>
    <s v="238-49-0436"/>
    <x v="0"/>
    <x v="0"/>
    <x v="1"/>
    <x v="0"/>
    <n v="3246"/>
    <x v="7"/>
    <n v="1298.4000000000001"/>
    <n v="27266.400000000001"/>
  </r>
  <r>
    <x v="1"/>
    <s v="584-86-7256"/>
    <x v="1"/>
    <x v="1"/>
    <x v="0"/>
    <x v="5"/>
    <n v="3456"/>
    <x v="0"/>
    <n v="1209.6000000000001"/>
    <n v="25401.599999999999"/>
  </r>
  <r>
    <x v="1"/>
    <s v="746-94-0204"/>
    <x v="0"/>
    <x v="0"/>
    <x v="1"/>
    <x v="4"/>
    <n v="8324"/>
    <x v="9"/>
    <n v="3745.8"/>
    <n v="78661.8"/>
  </r>
  <r>
    <x v="1"/>
    <s v="782-95-9291"/>
    <x v="0"/>
    <x v="0"/>
    <x v="0"/>
    <x v="3"/>
    <n v="9229"/>
    <x v="1"/>
    <n v="2307.25"/>
    <n v="48452.25"/>
  </r>
  <r>
    <x v="1"/>
    <s v="279-74-2924"/>
    <x v="2"/>
    <x v="2"/>
    <x v="0"/>
    <x v="1"/>
    <n v="7217"/>
    <x v="8"/>
    <n v="360.85"/>
    <n v="7577.85"/>
  </r>
  <r>
    <x v="1"/>
    <s v="307-85-2293"/>
    <x v="2"/>
    <x v="2"/>
    <x v="1"/>
    <x v="2"/>
    <n v="5028"/>
    <x v="1"/>
    <n v="1257"/>
    <n v="26397"/>
  </r>
  <r>
    <x v="1"/>
    <s v="743-04-1105"/>
    <x v="2"/>
    <x v="2"/>
    <x v="0"/>
    <x v="0"/>
    <n v="9722"/>
    <x v="9"/>
    <n v="4374.9000000000005"/>
    <n v="91872.9"/>
  </r>
  <r>
    <x v="1"/>
    <s v="423-57-2993"/>
    <x v="2"/>
    <x v="2"/>
    <x v="1"/>
    <x v="5"/>
    <n v="9339"/>
    <x v="2"/>
    <n v="2801.7000000000003"/>
    <n v="58835.7"/>
  </r>
  <r>
    <x v="1"/>
    <s v="275-28-0149"/>
    <x v="0"/>
    <x v="0"/>
    <x v="1"/>
    <x v="5"/>
    <n v="6369"/>
    <x v="8"/>
    <n v="318.45000000000005"/>
    <n v="6687.45"/>
  </r>
  <r>
    <x v="1"/>
    <s v="101-17-6199"/>
    <x v="0"/>
    <x v="0"/>
    <x v="1"/>
    <x v="3"/>
    <n v="4579"/>
    <x v="0"/>
    <n v="1602.65"/>
    <n v="33655.65"/>
  </r>
  <r>
    <x v="1"/>
    <s v="423-80-0988"/>
    <x v="1"/>
    <x v="1"/>
    <x v="1"/>
    <x v="5"/>
    <n v="764"/>
    <x v="4"/>
    <n v="76.400000000000006"/>
    <n v="1604.4"/>
  </r>
  <r>
    <x v="1"/>
    <s v="548-46-9322"/>
    <x v="2"/>
    <x v="2"/>
    <x v="1"/>
    <x v="3"/>
    <n v="399"/>
    <x v="3"/>
    <n v="199.5"/>
    <n v="4189.5"/>
  </r>
  <r>
    <x v="1"/>
    <s v="505-02-0892"/>
    <x v="2"/>
    <x v="2"/>
    <x v="0"/>
    <x v="0"/>
    <n v="4257"/>
    <x v="7"/>
    <n v="1702.8000000000002"/>
    <n v="35758.800000000003"/>
  </r>
  <r>
    <x v="1"/>
    <s v="234-65-2137"/>
    <x v="1"/>
    <x v="1"/>
    <x v="1"/>
    <x v="2"/>
    <n v="9558"/>
    <x v="3"/>
    <n v="4779"/>
    <n v="100359"/>
  </r>
  <r>
    <x v="1"/>
    <s v="687-47-8271"/>
    <x v="0"/>
    <x v="0"/>
    <x v="1"/>
    <x v="4"/>
    <n v="9898"/>
    <x v="3"/>
    <n v="4949"/>
    <n v="103929"/>
  </r>
  <r>
    <x v="1"/>
    <s v="796-32-9050"/>
    <x v="0"/>
    <x v="0"/>
    <x v="1"/>
    <x v="3"/>
    <n v="5128"/>
    <x v="2"/>
    <n v="1538.4"/>
    <n v="32306.400000000001"/>
  </r>
  <r>
    <x v="1"/>
    <s v="105-31-1824"/>
    <x v="0"/>
    <x v="0"/>
    <x v="0"/>
    <x v="5"/>
    <n v="6952"/>
    <x v="0"/>
    <n v="2433.2000000000003"/>
    <n v="51097.2"/>
  </r>
  <r>
    <x v="1"/>
    <s v="249-42-3782"/>
    <x v="0"/>
    <x v="0"/>
    <x v="1"/>
    <x v="0"/>
    <n v="7001"/>
    <x v="1"/>
    <n v="1750.25"/>
    <n v="36755.25"/>
  </r>
  <r>
    <x v="1"/>
    <s v="316-55-4634"/>
    <x v="2"/>
    <x v="2"/>
    <x v="0"/>
    <x v="3"/>
    <n v="8005"/>
    <x v="1"/>
    <n v="2001.25"/>
    <n v="42026.25"/>
  </r>
  <r>
    <x v="1"/>
    <s v="733-33-4967"/>
    <x v="1"/>
    <x v="1"/>
    <x v="1"/>
    <x v="1"/>
    <n v="2085"/>
    <x v="7"/>
    <n v="834"/>
    <n v="17514"/>
  </r>
  <r>
    <x v="1"/>
    <s v="608-27-6295"/>
    <x v="2"/>
    <x v="2"/>
    <x v="0"/>
    <x v="1"/>
    <n v="5289"/>
    <x v="2"/>
    <n v="1586.7"/>
    <n v="33320.699999999997"/>
  </r>
  <r>
    <x v="1"/>
    <s v="414-12-7047"/>
    <x v="2"/>
    <x v="2"/>
    <x v="1"/>
    <x v="3"/>
    <n v="1979"/>
    <x v="7"/>
    <n v="791.6"/>
    <n v="16623.599999999999"/>
  </r>
  <r>
    <x v="1"/>
    <s v="827-26-2100"/>
    <x v="0"/>
    <x v="0"/>
    <x v="0"/>
    <x v="2"/>
    <n v="3384"/>
    <x v="9"/>
    <n v="1522.8000000000002"/>
    <n v="31978.799999999999"/>
  </r>
  <r>
    <x v="1"/>
    <s v="175-54-2529"/>
    <x v="0"/>
    <x v="0"/>
    <x v="0"/>
    <x v="3"/>
    <n v="2217"/>
    <x v="7"/>
    <n v="886.80000000000007"/>
    <n v="18622.8"/>
  </r>
  <r>
    <x v="1"/>
    <s v="407-63-8975"/>
    <x v="0"/>
    <x v="0"/>
    <x v="1"/>
    <x v="3"/>
    <n v="7388"/>
    <x v="2"/>
    <n v="2216.4"/>
    <n v="46544.4"/>
  </r>
  <r>
    <x v="1"/>
    <s v="342-65-4817"/>
    <x v="1"/>
    <x v="1"/>
    <x v="0"/>
    <x v="0"/>
    <n v="868"/>
    <x v="5"/>
    <n v="130.20000000000002"/>
    <n v="2734.2"/>
  </r>
  <r>
    <x v="1"/>
    <s v="130-98-8941"/>
    <x v="1"/>
    <x v="1"/>
    <x v="1"/>
    <x v="4"/>
    <n v="6426"/>
    <x v="0"/>
    <n v="2249.1"/>
    <n v="47231.1"/>
  </r>
  <r>
    <x v="1"/>
    <s v="434-83-9547"/>
    <x v="1"/>
    <x v="1"/>
    <x v="0"/>
    <x v="3"/>
    <n v="3847"/>
    <x v="7"/>
    <n v="1538.8000000000002"/>
    <n v="32314.799999999999"/>
  </r>
  <r>
    <x v="1"/>
    <s v="851-28-6367"/>
    <x v="0"/>
    <x v="0"/>
    <x v="0"/>
    <x v="5"/>
    <n v="155"/>
    <x v="3"/>
    <n v="77.5"/>
    <n v="1627.5"/>
  </r>
  <r>
    <x v="1"/>
    <s v="824-88-3614"/>
    <x v="1"/>
    <x v="1"/>
    <x v="1"/>
    <x v="0"/>
    <n v="3431"/>
    <x v="7"/>
    <n v="1372.4"/>
    <n v="28820.400000000001"/>
  </r>
  <r>
    <x v="1"/>
    <s v="895-66-0685"/>
    <x v="2"/>
    <x v="2"/>
    <x v="0"/>
    <x v="3"/>
    <n v="1808"/>
    <x v="5"/>
    <n v="271.2"/>
    <n v="5695.2"/>
  </r>
  <r>
    <x v="1"/>
    <s v="732-04-5373"/>
    <x v="2"/>
    <x v="2"/>
    <x v="0"/>
    <x v="2"/>
    <n v="4647"/>
    <x v="6"/>
    <n v="929.40000000000009"/>
    <n v="19517.400000000001"/>
  </r>
  <r>
    <x v="1"/>
    <s v="400-60-7251"/>
    <x v="0"/>
    <x v="0"/>
    <x v="1"/>
    <x v="2"/>
    <n v="7407"/>
    <x v="8"/>
    <n v="370.35"/>
    <n v="7777.35"/>
  </r>
  <r>
    <x v="1"/>
    <s v="641-43-2399"/>
    <x v="2"/>
    <x v="2"/>
    <x v="1"/>
    <x v="2"/>
    <n v="2555"/>
    <x v="6"/>
    <n v="511"/>
    <n v="10731"/>
  </r>
  <r>
    <x v="1"/>
    <s v="831-07-6050"/>
    <x v="0"/>
    <x v="0"/>
    <x v="1"/>
    <x v="1"/>
    <n v="3271"/>
    <x v="1"/>
    <n v="817.75"/>
    <n v="17172.75"/>
  </r>
  <r>
    <x v="1"/>
    <s v="848-24-9445"/>
    <x v="1"/>
    <x v="1"/>
    <x v="0"/>
    <x v="0"/>
    <n v="437"/>
    <x v="4"/>
    <n v="43.7"/>
    <n v="917.7"/>
  </r>
  <r>
    <x v="1"/>
    <s v="699-01-4164"/>
    <x v="1"/>
    <x v="1"/>
    <x v="1"/>
    <x v="0"/>
    <n v="415"/>
    <x v="6"/>
    <n v="83"/>
    <n v="1743"/>
  </r>
  <r>
    <x v="1"/>
    <s v="426-39-2418"/>
    <x v="1"/>
    <x v="1"/>
    <x v="1"/>
    <x v="1"/>
    <n v="6141"/>
    <x v="0"/>
    <n v="2149.35"/>
    <n v="45136.35"/>
  </r>
  <r>
    <x v="1"/>
    <s v="875-46-5808"/>
    <x v="2"/>
    <x v="2"/>
    <x v="0"/>
    <x v="0"/>
    <n v="259"/>
    <x v="3"/>
    <n v="129.5"/>
    <n v="2719.5"/>
  </r>
  <r>
    <x v="1"/>
    <s v="394-43-4238"/>
    <x v="2"/>
    <x v="2"/>
    <x v="0"/>
    <x v="2"/>
    <n v="1777"/>
    <x v="1"/>
    <n v="444.25"/>
    <n v="9329.25"/>
  </r>
  <r>
    <x v="1"/>
    <s v="888-02-0338"/>
    <x v="0"/>
    <x v="0"/>
    <x v="1"/>
    <x v="1"/>
    <n v="2623"/>
    <x v="9"/>
    <n v="1180.3500000000001"/>
    <n v="24787.35"/>
  </r>
  <r>
    <x v="1"/>
    <s v="142-63-6033"/>
    <x v="2"/>
    <x v="2"/>
    <x v="1"/>
    <x v="2"/>
    <n v="9236"/>
    <x v="1"/>
    <n v="2309"/>
    <n v="48489"/>
  </r>
  <r>
    <x v="1"/>
    <s v="656-16-1063"/>
    <x v="2"/>
    <x v="2"/>
    <x v="1"/>
    <x v="5"/>
    <n v="4642"/>
    <x v="5"/>
    <n v="696.30000000000007"/>
    <n v="14622.3"/>
  </r>
  <r>
    <x v="1"/>
    <s v="802-43-8934"/>
    <x v="0"/>
    <x v="0"/>
    <x v="1"/>
    <x v="2"/>
    <n v="1828"/>
    <x v="8"/>
    <n v="91.4"/>
    <n v="1919.4"/>
  </r>
  <r>
    <x v="1"/>
    <s v="549-03-9315"/>
    <x v="2"/>
    <x v="2"/>
    <x v="1"/>
    <x v="4"/>
    <n v="9487"/>
    <x v="7"/>
    <n v="3794.8"/>
    <n v="79690.8"/>
  </r>
  <r>
    <x v="1"/>
    <s v="239-36-3640"/>
    <x v="2"/>
    <x v="2"/>
    <x v="1"/>
    <x v="1"/>
    <n v="4535"/>
    <x v="2"/>
    <n v="1360.5"/>
    <n v="28570.5"/>
  </r>
  <r>
    <x v="1"/>
    <s v="468-01-2051"/>
    <x v="2"/>
    <x v="2"/>
    <x v="1"/>
    <x v="3"/>
    <n v="6208"/>
    <x v="0"/>
    <n v="2172.8000000000002"/>
    <n v="45628.800000000003"/>
  </r>
  <r>
    <x v="1"/>
    <s v="389-25-3394"/>
    <x v="1"/>
    <x v="1"/>
    <x v="1"/>
    <x v="1"/>
    <n v="1181"/>
    <x v="1"/>
    <n v="295.25"/>
    <n v="6200.25"/>
  </r>
  <r>
    <x v="1"/>
    <s v="213-72-6612"/>
    <x v="0"/>
    <x v="0"/>
    <x v="1"/>
    <x v="3"/>
    <n v="4325"/>
    <x v="4"/>
    <n v="432.5"/>
    <n v="9082.5"/>
  </r>
  <r>
    <x v="1"/>
    <s v="836-82-5858"/>
    <x v="2"/>
    <x v="2"/>
    <x v="0"/>
    <x v="0"/>
    <n v="6937"/>
    <x v="9"/>
    <n v="3121.65"/>
    <n v="65554.649999999994"/>
  </r>
  <r>
    <x v="1"/>
    <s v="583-72-1480"/>
    <x v="1"/>
    <x v="1"/>
    <x v="0"/>
    <x v="1"/>
    <n v="3706"/>
    <x v="6"/>
    <n v="741.2"/>
    <n v="15565.2"/>
  </r>
  <r>
    <x v="1"/>
    <s v="269-04-5750"/>
    <x v="2"/>
    <x v="2"/>
    <x v="0"/>
    <x v="4"/>
    <n v="7382"/>
    <x v="6"/>
    <n v="1476.4"/>
    <n v="31004.400000000001"/>
  </r>
  <r>
    <x v="1"/>
    <s v="157-13-5295"/>
    <x v="0"/>
    <x v="0"/>
    <x v="0"/>
    <x v="0"/>
    <n v="5194"/>
    <x v="3"/>
    <n v="2597"/>
    <n v="54537"/>
  </r>
  <r>
    <x v="1"/>
    <s v="211-30-9270"/>
    <x v="1"/>
    <x v="1"/>
    <x v="1"/>
    <x v="0"/>
    <n v="1741"/>
    <x v="1"/>
    <n v="435.25"/>
    <n v="9140.25"/>
  </r>
  <r>
    <x v="1"/>
    <s v="478-06-7835"/>
    <x v="0"/>
    <x v="0"/>
    <x v="1"/>
    <x v="4"/>
    <n v="8969"/>
    <x v="8"/>
    <n v="448.45000000000005"/>
    <n v="9417.4500000000007"/>
  </r>
  <r>
    <x v="1"/>
    <s v="540-11-4336"/>
    <x v="0"/>
    <x v="0"/>
    <x v="1"/>
    <x v="3"/>
    <n v="2494"/>
    <x v="9"/>
    <n v="1122.3"/>
    <n v="23568.3"/>
  </r>
  <r>
    <x v="1"/>
    <s v="448-81-5016"/>
    <x v="0"/>
    <x v="0"/>
    <x v="1"/>
    <x v="0"/>
    <n v="5977"/>
    <x v="4"/>
    <n v="597.70000000000005"/>
    <n v="12551.7"/>
  </r>
  <r>
    <x v="1"/>
    <s v="142-72-4741"/>
    <x v="1"/>
    <x v="1"/>
    <x v="0"/>
    <x v="4"/>
    <n v="932"/>
    <x v="4"/>
    <n v="93.2"/>
    <n v="1957.2"/>
  </r>
  <r>
    <x v="1"/>
    <s v="217-58-1179"/>
    <x v="0"/>
    <x v="0"/>
    <x v="0"/>
    <x v="2"/>
    <n v="6265"/>
    <x v="6"/>
    <n v="1253"/>
    <n v="26313"/>
  </r>
  <r>
    <x v="1"/>
    <s v="376-02-8238"/>
    <x v="2"/>
    <x v="2"/>
    <x v="1"/>
    <x v="2"/>
    <n v="9387"/>
    <x v="7"/>
    <n v="3754.8"/>
    <n v="78850.8"/>
  </r>
  <r>
    <x v="1"/>
    <s v="530-90-9855"/>
    <x v="0"/>
    <x v="0"/>
    <x v="0"/>
    <x v="2"/>
    <n v="4759"/>
    <x v="7"/>
    <n v="1903.6000000000001"/>
    <n v="39975.599999999999"/>
  </r>
  <r>
    <x v="1"/>
    <s v="604-70-6476"/>
    <x v="0"/>
    <x v="0"/>
    <x v="0"/>
    <x v="4"/>
    <n v="1794"/>
    <x v="1"/>
    <n v="448.5"/>
    <n v="9418.5"/>
  </r>
  <r>
    <x v="1"/>
    <s v="799-71-1548"/>
    <x v="0"/>
    <x v="0"/>
    <x v="0"/>
    <x v="1"/>
    <n v="7772"/>
    <x v="6"/>
    <n v="1554.4"/>
    <n v="32642.400000000001"/>
  </r>
  <r>
    <x v="1"/>
    <s v="785-13-7708"/>
    <x v="2"/>
    <x v="2"/>
    <x v="1"/>
    <x v="3"/>
    <n v="7306"/>
    <x v="0"/>
    <n v="2557.1000000000004"/>
    <n v="53699.1"/>
  </r>
  <r>
    <x v="1"/>
    <s v="845-51-0542"/>
    <x v="2"/>
    <x v="2"/>
    <x v="0"/>
    <x v="3"/>
    <n v="4655"/>
    <x v="9"/>
    <n v="2094.75"/>
    <n v="43989.75"/>
  </r>
  <r>
    <x v="1"/>
    <s v="662-47-5456"/>
    <x v="1"/>
    <x v="1"/>
    <x v="0"/>
    <x v="4"/>
    <n v="3519"/>
    <x v="3"/>
    <n v="1759.5"/>
    <n v="36949.5"/>
  </r>
  <r>
    <x v="1"/>
    <s v="290-68-2984"/>
    <x v="0"/>
    <x v="0"/>
    <x v="1"/>
    <x v="2"/>
    <n v="2375"/>
    <x v="6"/>
    <n v="475"/>
    <n v="9975"/>
  </r>
  <r>
    <x v="1"/>
    <s v="704-11-6354"/>
    <x v="0"/>
    <x v="0"/>
    <x v="0"/>
    <x v="2"/>
    <n v="589"/>
    <x v="7"/>
    <n v="235.60000000000002"/>
    <n v="4947.6000000000004"/>
  </r>
  <r>
    <x v="1"/>
    <s v="110-48-7033"/>
    <x v="2"/>
    <x v="2"/>
    <x v="0"/>
    <x v="4"/>
    <n v="3262"/>
    <x v="6"/>
    <n v="652.40000000000009"/>
    <n v="13700.4"/>
  </r>
  <r>
    <x v="1"/>
    <s v="366-93-0948"/>
    <x v="0"/>
    <x v="0"/>
    <x v="0"/>
    <x v="1"/>
    <n v="6635"/>
    <x v="8"/>
    <n v="331.75"/>
    <n v="6966.75"/>
  </r>
  <r>
    <x v="1"/>
    <s v="729-09-9681"/>
    <x v="0"/>
    <x v="0"/>
    <x v="0"/>
    <x v="2"/>
    <n v="2591"/>
    <x v="2"/>
    <n v="777.30000000000007"/>
    <n v="16323.3"/>
  </r>
  <r>
    <x v="1"/>
    <s v="151-16-1484"/>
    <x v="0"/>
    <x v="0"/>
    <x v="0"/>
    <x v="1"/>
    <n v="3225"/>
    <x v="6"/>
    <n v="645"/>
    <n v="13545"/>
  </r>
  <r>
    <x v="1"/>
    <s v="380-94-4661"/>
    <x v="1"/>
    <x v="1"/>
    <x v="0"/>
    <x v="1"/>
    <n v="6594"/>
    <x v="6"/>
    <n v="1318.8000000000002"/>
    <n v="27694.799999999999"/>
  </r>
  <r>
    <x v="1"/>
    <s v="154-74-7179"/>
    <x v="2"/>
    <x v="2"/>
    <x v="1"/>
    <x v="5"/>
    <n v="5445"/>
    <x v="8"/>
    <n v="272.25"/>
    <n v="5717.25"/>
  </r>
  <r>
    <x v="1"/>
    <s v="808-65-0703"/>
    <x v="1"/>
    <x v="1"/>
    <x v="1"/>
    <x v="2"/>
    <n v="3547"/>
    <x v="6"/>
    <n v="709.40000000000009"/>
    <n v="14897.4"/>
  </r>
  <r>
    <x v="1"/>
    <s v="144-51-6085"/>
    <x v="0"/>
    <x v="0"/>
    <x v="0"/>
    <x v="2"/>
    <n v="7074"/>
    <x v="6"/>
    <n v="1414.8000000000002"/>
    <n v="29710.799999999999"/>
  </r>
  <r>
    <x v="1"/>
    <s v="566-19-5475"/>
    <x v="2"/>
    <x v="2"/>
    <x v="1"/>
    <x v="4"/>
    <n v="4797"/>
    <x v="0"/>
    <n v="1678.95"/>
    <n v="35257.949999999997"/>
  </r>
  <r>
    <x v="1"/>
    <s v="537-72-0426"/>
    <x v="1"/>
    <x v="1"/>
    <x v="0"/>
    <x v="4"/>
    <n v="7099"/>
    <x v="3"/>
    <n v="3549.5"/>
    <n v="74539.5"/>
  </r>
  <r>
    <x v="1"/>
    <s v="828-61-5674"/>
    <x v="0"/>
    <x v="0"/>
    <x v="0"/>
    <x v="5"/>
    <n v="4402"/>
    <x v="3"/>
    <n v="2201"/>
    <n v="46221"/>
  </r>
  <r>
    <x v="1"/>
    <s v="523-38-0215"/>
    <x v="1"/>
    <x v="1"/>
    <x v="1"/>
    <x v="2"/>
    <n v="37"/>
    <x v="8"/>
    <n v="1.85"/>
    <n v="38.85"/>
  </r>
  <r>
    <x v="1"/>
    <s v="667-92-0055"/>
    <x v="0"/>
    <x v="0"/>
    <x v="0"/>
    <x v="0"/>
    <n v="9983"/>
    <x v="2"/>
    <n v="2994.9"/>
    <n v="62892.9"/>
  </r>
  <r>
    <x v="1"/>
    <s v="498-41-1961"/>
    <x v="2"/>
    <x v="2"/>
    <x v="1"/>
    <x v="0"/>
    <n v="6668"/>
    <x v="1"/>
    <n v="1667"/>
    <n v="35007"/>
  </r>
  <r>
    <x v="1"/>
    <s v="593-95-4461"/>
    <x v="1"/>
    <x v="1"/>
    <x v="0"/>
    <x v="2"/>
    <n v="7486"/>
    <x v="8"/>
    <n v="374.3"/>
    <n v="7860.3"/>
  </r>
  <r>
    <x v="1"/>
    <s v="139-20-0155"/>
    <x v="2"/>
    <x v="2"/>
    <x v="0"/>
    <x v="1"/>
    <n v="403"/>
    <x v="3"/>
    <n v="201.5"/>
    <n v="4231.5"/>
  </r>
  <r>
    <x v="1"/>
    <s v="558-80-4082"/>
    <x v="1"/>
    <x v="1"/>
    <x v="1"/>
    <x v="1"/>
    <n v="2785"/>
    <x v="0"/>
    <n v="974.75"/>
    <n v="20469.75"/>
  </r>
  <r>
    <x v="1"/>
    <s v="585-03-5943"/>
    <x v="2"/>
    <x v="2"/>
    <x v="1"/>
    <x v="0"/>
    <n v="1811"/>
    <x v="3"/>
    <n v="905.5"/>
    <n v="19015.5"/>
  </r>
  <r>
    <x v="1"/>
    <s v="727-75-6477"/>
    <x v="1"/>
    <x v="1"/>
    <x v="1"/>
    <x v="1"/>
    <n v="2884"/>
    <x v="6"/>
    <n v="576.80000000000007"/>
    <n v="12112.8"/>
  </r>
  <r>
    <x v="1"/>
    <s v="744-02-5987"/>
    <x v="0"/>
    <x v="0"/>
    <x v="0"/>
    <x v="2"/>
    <n v="7838"/>
    <x v="2"/>
    <n v="2351.4"/>
    <n v="49379.4"/>
  </r>
  <r>
    <x v="1"/>
    <s v="307-83-9164"/>
    <x v="0"/>
    <x v="0"/>
    <x v="0"/>
    <x v="2"/>
    <n v="6001"/>
    <x v="6"/>
    <n v="1200.2"/>
    <n v="25204.2"/>
  </r>
  <r>
    <x v="1"/>
    <s v="446-47-6729"/>
    <x v="1"/>
    <x v="1"/>
    <x v="1"/>
    <x v="4"/>
    <n v="9982"/>
    <x v="4"/>
    <n v="998.2"/>
    <n v="20962.2"/>
  </r>
  <r>
    <x v="1"/>
    <s v="573-10-3877"/>
    <x v="2"/>
    <x v="2"/>
    <x v="0"/>
    <x v="0"/>
    <n v="3901"/>
    <x v="8"/>
    <n v="195.05"/>
    <n v="4096.05"/>
  </r>
  <r>
    <x v="1"/>
    <s v="735-06-4124"/>
    <x v="1"/>
    <x v="1"/>
    <x v="1"/>
    <x v="3"/>
    <n v="4861"/>
    <x v="8"/>
    <n v="243.05"/>
    <n v="5104.05"/>
  </r>
  <r>
    <x v="1"/>
    <s v="411-77-0180"/>
    <x v="0"/>
    <x v="0"/>
    <x v="0"/>
    <x v="1"/>
    <n v="722"/>
    <x v="0"/>
    <n v="252.70000000000002"/>
    <n v="5306.7"/>
  </r>
  <r>
    <x v="1"/>
    <s v="532-59-7201"/>
    <x v="2"/>
    <x v="2"/>
    <x v="0"/>
    <x v="5"/>
    <n v="7993"/>
    <x v="2"/>
    <n v="2397.9"/>
    <n v="50355.9"/>
  </r>
  <r>
    <x v="1"/>
    <s v="181-94-6432"/>
    <x v="1"/>
    <x v="1"/>
    <x v="0"/>
    <x v="4"/>
    <n v="6933"/>
    <x v="4"/>
    <n v="693.30000000000007"/>
    <n v="14559.3"/>
  </r>
  <r>
    <x v="1"/>
    <s v="174-36-3675"/>
    <x v="1"/>
    <x v="1"/>
    <x v="0"/>
    <x v="3"/>
    <n v="9937"/>
    <x v="4"/>
    <n v="993.7"/>
    <n v="20867.7"/>
  </r>
  <r>
    <x v="1"/>
    <s v="603-07-0961"/>
    <x v="1"/>
    <x v="1"/>
    <x v="0"/>
    <x v="1"/>
    <n v="7479"/>
    <x v="1"/>
    <n v="1869.75"/>
    <n v="39264.75"/>
  </r>
  <r>
    <x v="1"/>
    <s v="787-15-1757"/>
    <x v="1"/>
    <x v="1"/>
    <x v="0"/>
    <x v="0"/>
    <n v="4407"/>
    <x v="6"/>
    <n v="881.40000000000009"/>
    <n v="18509.400000000001"/>
  </r>
  <r>
    <x v="1"/>
    <s v="372-94-8041"/>
    <x v="0"/>
    <x v="0"/>
    <x v="1"/>
    <x v="0"/>
    <n v="1526"/>
    <x v="2"/>
    <n v="457.8"/>
    <n v="9613.7999999999993"/>
  </r>
  <r>
    <x v="1"/>
    <s v="746-54-5508"/>
    <x v="0"/>
    <x v="0"/>
    <x v="1"/>
    <x v="2"/>
    <n v="2152"/>
    <x v="2"/>
    <n v="645.6"/>
    <n v="13557.6"/>
  </r>
  <r>
    <x v="1"/>
    <s v="276-54-0879"/>
    <x v="2"/>
    <x v="2"/>
    <x v="1"/>
    <x v="5"/>
    <n v="9774"/>
    <x v="6"/>
    <n v="1954.8000000000002"/>
    <n v="41050.800000000003"/>
  </r>
  <r>
    <x v="1"/>
    <s v="815-11-1168"/>
    <x v="0"/>
    <x v="0"/>
    <x v="0"/>
    <x v="3"/>
    <n v="9978"/>
    <x v="1"/>
    <n v="2494.5"/>
    <n v="52384.5"/>
  </r>
  <r>
    <x v="1"/>
    <s v="719-76-3868"/>
    <x v="1"/>
    <x v="1"/>
    <x v="0"/>
    <x v="3"/>
    <n v="9426"/>
    <x v="6"/>
    <n v="1885.2"/>
    <n v="39589.199999999997"/>
  </r>
  <r>
    <x v="1"/>
    <s v="730-61-8757"/>
    <x v="2"/>
    <x v="2"/>
    <x v="0"/>
    <x v="0"/>
    <n v="5113"/>
    <x v="6"/>
    <n v="1022.6"/>
    <n v="21474.6"/>
  </r>
  <r>
    <x v="1"/>
    <s v="340-66-0321"/>
    <x v="0"/>
    <x v="0"/>
    <x v="0"/>
    <x v="1"/>
    <n v="3636"/>
    <x v="6"/>
    <n v="727.2"/>
    <n v="15271.2"/>
  </r>
  <r>
    <x v="1"/>
    <s v="868-81-1752"/>
    <x v="2"/>
    <x v="2"/>
    <x v="1"/>
    <x v="2"/>
    <n v="2202"/>
    <x v="9"/>
    <n v="990.90000000000009"/>
    <n v="20808.900000000001"/>
  </r>
  <r>
    <x v="1"/>
    <s v="634-97-8956"/>
    <x v="0"/>
    <x v="0"/>
    <x v="1"/>
    <x v="3"/>
    <n v="329"/>
    <x v="5"/>
    <n v="49.35"/>
    <n v="1036.3499999999999"/>
  </r>
  <r>
    <x v="1"/>
    <s v="566-71-1091"/>
    <x v="0"/>
    <x v="0"/>
    <x v="1"/>
    <x v="4"/>
    <n v="7702"/>
    <x v="1"/>
    <n v="1925.5"/>
    <n v="40435.5"/>
  </r>
  <r>
    <x v="1"/>
    <s v="442-48-3607"/>
    <x v="0"/>
    <x v="0"/>
    <x v="0"/>
    <x v="3"/>
    <n v="2348"/>
    <x v="4"/>
    <n v="234.8"/>
    <n v="4930.8"/>
  </r>
  <r>
    <x v="1"/>
    <s v="835-16-0096"/>
    <x v="1"/>
    <x v="1"/>
    <x v="0"/>
    <x v="5"/>
    <n v="147"/>
    <x v="1"/>
    <n v="36.75"/>
    <n v="771.75"/>
  </r>
  <r>
    <x v="1"/>
    <s v="898-04-2717"/>
    <x v="0"/>
    <x v="0"/>
    <x v="1"/>
    <x v="4"/>
    <n v="764"/>
    <x v="9"/>
    <n v="343.8"/>
    <n v="7219.8"/>
  </r>
  <r>
    <x v="1"/>
    <s v="378-07-7001"/>
    <x v="2"/>
    <x v="2"/>
    <x v="0"/>
    <x v="1"/>
    <n v="4809"/>
    <x v="5"/>
    <n v="721.35"/>
    <n v="15148.35"/>
  </r>
  <r>
    <x v="1"/>
    <s v="150-89-8043"/>
    <x v="0"/>
    <x v="0"/>
    <x v="1"/>
    <x v="5"/>
    <n v="4465"/>
    <x v="5"/>
    <n v="669.75"/>
    <n v="14064.75"/>
  </r>
  <r>
    <x v="1"/>
    <s v="441-94-7118"/>
    <x v="0"/>
    <x v="0"/>
    <x v="0"/>
    <x v="1"/>
    <n v="7195"/>
    <x v="8"/>
    <n v="359.75"/>
    <n v="7554.75"/>
  </r>
  <r>
    <x v="1"/>
    <s v="531-80-1784"/>
    <x v="0"/>
    <x v="0"/>
    <x v="1"/>
    <x v="1"/>
    <n v="2602"/>
    <x v="0"/>
    <n v="910.7"/>
    <n v="19124.7"/>
  </r>
  <r>
    <x v="1"/>
    <s v="834-61-8124"/>
    <x v="0"/>
    <x v="0"/>
    <x v="1"/>
    <x v="1"/>
    <n v="5169"/>
    <x v="0"/>
    <n v="1809.15"/>
    <n v="37992.15"/>
  </r>
  <r>
    <x v="1"/>
    <s v="565-67-6697"/>
    <x v="2"/>
    <x v="2"/>
    <x v="0"/>
    <x v="2"/>
    <n v="27"/>
    <x v="9"/>
    <n v="12.15"/>
    <n v="255.15"/>
  </r>
  <r>
    <x v="1"/>
    <s v="453-63-6187"/>
    <x v="2"/>
    <x v="2"/>
    <x v="1"/>
    <x v="1"/>
    <n v="275"/>
    <x v="5"/>
    <n v="41.25"/>
    <n v="866.25"/>
  </r>
  <r>
    <x v="1"/>
    <s v="578-80-7669"/>
    <x v="2"/>
    <x v="2"/>
    <x v="1"/>
    <x v="5"/>
    <n v="7497"/>
    <x v="8"/>
    <n v="374.85"/>
    <n v="7871.85"/>
  </r>
  <r>
    <x v="1"/>
    <s v="612-36-5536"/>
    <x v="0"/>
    <x v="0"/>
    <x v="0"/>
    <x v="3"/>
    <n v="8096"/>
    <x v="7"/>
    <n v="3238.4"/>
    <n v="68006.399999999994"/>
  </r>
  <r>
    <x v="1"/>
    <s v="471-41-2823"/>
    <x v="1"/>
    <x v="1"/>
    <x v="1"/>
    <x v="3"/>
    <n v="9979"/>
    <x v="4"/>
    <n v="997.90000000000009"/>
    <n v="20955.900000000001"/>
  </r>
  <r>
    <x v="1"/>
    <s v="462-67-9126"/>
    <x v="0"/>
    <x v="0"/>
    <x v="1"/>
    <x v="2"/>
    <n v="7322"/>
    <x v="2"/>
    <n v="2196.6"/>
    <n v="46128.6"/>
  </r>
  <r>
    <x v="1"/>
    <s v="468-88-0009"/>
    <x v="0"/>
    <x v="0"/>
    <x v="0"/>
    <x v="2"/>
    <n v="6594"/>
    <x v="6"/>
    <n v="1318.8000000000002"/>
    <n v="27694.799999999999"/>
  </r>
  <r>
    <x v="1"/>
    <s v="254-31-0042"/>
    <x v="0"/>
    <x v="0"/>
    <x v="0"/>
    <x v="1"/>
    <n v="215"/>
    <x v="9"/>
    <n v="96.75"/>
    <n v="2031.75"/>
  </r>
  <r>
    <x v="1"/>
    <s v="382-25-8917"/>
    <x v="1"/>
    <x v="1"/>
    <x v="1"/>
    <x v="4"/>
    <n v="4208"/>
    <x v="2"/>
    <n v="1262.4000000000001"/>
    <n v="26510.400000000001"/>
  </r>
  <r>
    <x v="1"/>
    <s v="743-88-1662"/>
    <x v="1"/>
    <x v="1"/>
    <x v="1"/>
    <x v="5"/>
    <n v="9549"/>
    <x v="0"/>
    <n v="3342.15"/>
    <n v="70185.149999999994"/>
  </r>
  <r>
    <x v="1"/>
    <s v="595-86-2894"/>
    <x v="1"/>
    <x v="1"/>
    <x v="0"/>
    <x v="4"/>
    <n v="9698"/>
    <x v="6"/>
    <n v="1939.6000000000001"/>
    <n v="40731.599999999999"/>
  </r>
  <r>
    <x v="1"/>
    <s v="289-15-7034"/>
    <x v="0"/>
    <x v="0"/>
    <x v="0"/>
    <x v="5"/>
    <n v="8233"/>
    <x v="6"/>
    <n v="1646.6000000000001"/>
    <n v="34578.6"/>
  </r>
  <r>
    <x v="1"/>
    <s v="525-88-7307"/>
    <x v="2"/>
    <x v="2"/>
    <x v="0"/>
    <x v="5"/>
    <n v="7582"/>
    <x v="8"/>
    <n v="379.1"/>
    <n v="7961.1"/>
  </r>
  <r>
    <x v="1"/>
    <s v="689-16-9784"/>
    <x v="1"/>
    <x v="1"/>
    <x v="1"/>
    <x v="3"/>
    <n v="4677"/>
    <x v="2"/>
    <n v="1403.1000000000001"/>
    <n v="29465.1"/>
  </r>
  <r>
    <x v="1"/>
    <s v="596-42-3999"/>
    <x v="2"/>
    <x v="2"/>
    <x v="1"/>
    <x v="3"/>
    <n v="1822"/>
    <x v="0"/>
    <n v="637.70000000000005"/>
    <n v="13391.7"/>
  </r>
  <r>
    <x v="1"/>
    <s v="563-36-9814"/>
    <x v="0"/>
    <x v="0"/>
    <x v="0"/>
    <x v="1"/>
    <n v="7682"/>
    <x v="8"/>
    <n v="384.1"/>
    <n v="8066.1"/>
  </r>
  <r>
    <x v="1"/>
    <s v="760-54-1821"/>
    <x v="2"/>
    <x v="2"/>
    <x v="1"/>
    <x v="2"/>
    <n v="1359"/>
    <x v="9"/>
    <n v="611.55000000000007"/>
    <n v="12842.55"/>
  </r>
  <r>
    <x v="1"/>
    <s v="346-12-3257"/>
    <x v="2"/>
    <x v="2"/>
    <x v="0"/>
    <x v="1"/>
    <n v="1924"/>
    <x v="9"/>
    <n v="865.80000000000007"/>
    <n v="18181.8"/>
  </r>
  <r>
    <x v="1"/>
    <s v="651-61-0874"/>
    <x v="1"/>
    <x v="1"/>
    <x v="1"/>
    <x v="2"/>
    <n v="4622"/>
    <x v="6"/>
    <n v="924.40000000000009"/>
    <n v="19412.400000000001"/>
  </r>
  <r>
    <x v="1"/>
    <s v="236-86-3015"/>
    <x v="1"/>
    <x v="1"/>
    <x v="0"/>
    <x v="2"/>
    <n v="1398"/>
    <x v="8"/>
    <n v="69.900000000000006"/>
    <n v="1467.9"/>
  </r>
  <r>
    <x v="1"/>
    <s v="882-40-4577"/>
    <x v="0"/>
    <x v="0"/>
    <x v="0"/>
    <x v="5"/>
    <n v="6726"/>
    <x v="6"/>
    <n v="1345.2"/>
    <n v="28249.200000000001"/>
  </r>
  <r>
    <x v="1"/>
    <s v="732-67-5346"/>
    <x v="0"/>
    <x v="0"/>
    <x v="1"/>
    <x v="3"/>
    <n v="1379"/>
    <x v="1"/>
    <n v="344.75"/>
    <n v="7239.75"/>
  </r>
  <r>
    <x v="1"/>
    <s v="569-71-4390"/>
    <x v="2"/>
    <x v="2"/>
    <x v="1"/>
    <x v="5"/>
    <n v="2187"/>
    <x v="4"/>
    <n v="218.70000000000002"/>
    <n v="4592.7"/>
  </r>
  <r>
    <x v="1"/>
    <s v="132-23-6451"/>
    <x v="0"/>
    <x v="0"/>
    <x v="0"/>
    <x v="0"/>
    <n v="2097"/>
    <x v="1"/>
    <n v="524.25"/>
    <n v="11009.25"/>
  </r>
  <r>
    <x v="1"/>
    <s v="696-90-2548"/>
    <x v="0"/>
    <x v="0"/>
    <x v="1"/>
    <x v="5"/>
    <n v="2584"/>
    <x v="5"/>
    <n v="387.6"/>
    <n v="8139.6"/>
  </r>
  <r>
    <x v="1"/>
    <s v="472-15-9636"/>
    <x v="0"/>
    <x v="0"/>
    <x v="1"/>
    <x v="2"/>
    <n v="5093"/>
    <x v="7"/>
    <n v="2037.2"/>
    <n v="42781.2"/>
  </r>
  <r>
    <x v="1"/>
    <s v="268-03-6164"/>
    <x v="2"/>
    <x v="2"/>
    <x v="1"/>
    <x v="0"/>
    <n v="9611"/>
    <x v="8"/>
    <n v="480.55"/>
    <n v="10091.549999999999"/>
  </r>
  <r>
    <x v="1"/>
    <s v="301-81-8610"/>
    <x v="2"/>
    <x v="2"/>
    <x v="0"/>
    <x v="4"/>
    <n v="2542"/>
    <x v="7"/>
    <n v="1016.8000000000001"/>
    <n v="21352.799999999999"/>
  </r>
  <r>
    <x v="1"/>
    <s v="489-64-4354"/>
    <x v="1"/>
    <x v="1"/>
    <x v="1"/>
    <x v="4"/>
    <n v="1628"/>
    <x v="8"/>
    <n v="81.400000000000006"/>
    <n v="1709.4"/>
  </r>
  <r>
    <x v="1"/>
    <s v="198-84-7132"/>
    <x v="2"/>
    <x v="2"/>
    <x v="0"/>
    <x v="4"/>
    <n v="4061"/>
    <x v="9"/>
    <n v="1827.45"/>
    <n v="38376.449999999997"/>
  </r>
  <r>
    <x v="1"/>
    <s v="269-10-8440"/>
    <x v="0"/>
    <x v="0"/>
    <x v="0"/>
    <x v="0"/>
    <n v="5317"/>
    <x v="0"/>
    <n v="1860.95"/>
    <n v="39079.949999999997"/>
  </r>
  <r>
    <x v="1"/>
    <s v="741-73-3559"/>
    <x v="2"/>
    <x v="2"/>
    <x v="1"/>
    <x v="5"/>
    <n v="6727"/>
    <x v="1"/>
    <n v="1681.75"/>
    <n v="35316.75"/>
  </r>
  <r>
    <x v="1"/>
    <s v="286-75-7818"/>
    <x v="2"/>
    <x v="2"/>
    <x v="1"/>
    <x v="4"/>
    <n v="6908"/>
    <x v="4"/>
    <n v="690.80000000000007"/>
    <n v="14506.8"/>
  </r>
  <r>
    <x v="1"/>
    <s v="574-57-9721"/>
    <x v="1"/>
    <x v="1"/>
    <x v="1"/>
    <x v="3"/>
    <n v="4327"/>
    <x v="4"/>
    <n v="432.70000000000005"/>
    <n v="9086.7000000000007"/>
  </r>
  <r>
    <x v="1"/>
    <s v="616-87-0016"/>
    <x v="2"/>
    <x v="2"/>
    <x v="1"/>
    <x v="4"/>
    <n v="9554"/>
    <x v="0"/>
    <n v="3343.9"/>
    <n v="70221.899999999994"/>
  </r>
  <r>
    <x v="1"/>
    <s v="751-69-0068"/>
    <x v="1"/>
    <x v="1"/>
    <x v="1"/>
    <x v="5"/>
    <n v="9924"/>
    <x v="9"/>
    <n v="4465.8"/>
    <n v="93781.8"/>
  </r>
  <r>
    <x v="1"/>
    <s v="257-73-1380"/>
    <x v="1"/>
    <x v="1"/>
    <x v="0"/>
    <x v="5"/>
    <n v="8293"/>
    <x v="6"/>
    <n v="1658.6000000000001"/>
    <n v="34830.6"/>
  </r>
  <r>
    <x v="1"/>
    <s v="345-08-4992"/>
    <x v="0"/>
    <x v="0"/>
    <x v="1"/>
    <x v="2"/>
    <n v="3399"/>
    <x v="2"/>
    <n v="1019.7"/>
    <n v="21413.7"/>
  </r>
  <r>
    <x v="1"/>
    <s v="549-96-4200"/>
    <x v="1"/>
    <x v="1"/>
    <x v="0"/>
    <x v="3"/>
    <n v="1704"/>
    <x v="6"/>
    <n v="340.8"/>
    <n v="7156.8"/>
  </r>
  <r>
    <x v="1"/>
    <s v="450-28-2866"/>
    <x v="1"/>
    <x v="1"/>
    <x v="0"/>
    <x v="3"/>
    <n v="1744"/>
    <x v="1"/>
    <n v="436"/>
    <n v="9156"/>
  </r>
  <r>
    <x v="1"/>
    <s v="192-98-7397"/>
    <x v="1"/>
    <x v="1"/>
    <x v="1"/>
    <x v="4"/>
    <n v="1278"/>
    <x v="8"/>
    <n v="63.900000000000006"/>
    <n v="1341.9"/>
  </r>
  <r>
    <x v="1"/>
    <s v="235-46-8343"/>
    <x v="1"/>
    <x v="1"/>
    <x v="0"/>
    <x v="3"/>
    <n v="2766"/>
    <x v="3"/>
    <n v="1383"/>
    <n v="29043"/>
  </r>
  <r>
    <x v="1"/>
    <s v="453-12-7053"/>
    <x v="1"/>
    <x v="1"/>
    <x v="1"/>
    <x v="4"/>
    <n v="4574"/>
    <x v="5"/>
    <n v="686.1"/>
    <n v="14408.1"/>
  </r>
  <r>
    <x v="1"/>
    <s v="744-09-5786"/>
    <x v="2"/>
    <x v="2"/>
    <x v="1"/>
    <x v="1"/>
    <n v="2201"/>
    <x v="2"/>
    <n v="660.30000000000007"/>
    <n v="13866.3"/>
  </r>
  <r>
    <x v="1"/>
    <s v="568-88-3448"/>
    <x v="0"/>
    <x v="0"/>
    <x v="1"/>
    <x v="0"/>
    <n v="25"/>
    <x v="8"/>
    <n v="1.25"/>
    <n v="26.25"/>
  </r>
  <r>
    <x v="1"/>
    <s v="187-83-5490"/>
    <x v="0"/>
    <x v="0"/>
    <x v="0"/>
    <x v="1"/>
    <n v="2077"/>
    <x v="6"/>
    <n v="415.40000000000003"/>
    <n v="8723.4"/>
  </r>
  <r>
    <x v="1"/>
    <s v="533-33-5337"/>
    <x v="2"/>
    <x v="2"/>
    <x v="1"/>
    <x v="1"/>
    <n v="7939"/>
    <x v="3"/>
    <n v="3969.5"/>
    <n v="83359.5"/>
  </r>
  <r>
    <x v="1"/>
    <s v="729-46-7422"/>
    <x v="1"/>
    <x v="1"/>
    <x v="1"/>
    <x v="3"/>
    <n v="3589"/>
    <x v="8"/>
    <n v="179.45000000000002"/>
    <n v="3768.45"/>
  </r>
  <r>
    <x v="1"/>
    <s v="639-76-1242"/>
    <x v="1"/>
    <x v="1"/>
    <x v="1"/>
    <x v="3"/>
    <n v="4052"/>
    <x v="1"/>
    <n v="1013"/>
    <n v="21273"/>
  </r>
  <r>
    <x v="1"/>
    <s v="470-32-9057"/>
    <x v="0"/>
    <x v="0"/>
    <x v="0"/>
    <x v="3"/>
    <n v="5134"/>
    <x v="1"/>
    <n v="1283.5"/>
    <n v="26953.5"/>
  </r>
  <r>
    <x v="1"/>
    <s v="554-53-3790"/>
    <x v="2"/>
    <x v="2"/>
    <x v="1"/>
    <x v="5"/>
    <n v="3702"/>
    <x v="2"/>
    <n v="1110.6000000000001"/>
    <n v="23322.6"/>
  </r>
  <r>
    <x v="1"/>
    <s v="746-19-0921"/>
    <x v="1"/>
    <x v="1"/>
    <x v="1"/>
    <x v="3"/>
    <n v="2158"/>
    <x v="8"/>
    <n v="107.9"/>
    <n v="2265.9"/>
  </r>
  <r>
    <x v="1"/>
    <s v="405-31-3305"/>
    <x v="0"/>
    <x v="0"/>
    <x v="0"/>
    <x v="4"/>
    <n v="4313"/>
    <x v="3"/>
    <n v="2156.5"/>
    <n v="45286.5"/>
  </r>
  <r>
    <x v="1"/>
    <s v="731-59-7531"/>
    <x v="2"/>
    <x v="2"/>
    <x v="0"/>
    <x v="0"/>
    <n v="7257"/>
    <x v="7"/>
    <n v="2902.8"/>
    <n v="60958.8"/>
  </r>
  <r>
    <x v="1"/>
    <s v="502-05-1910"/>
    <x v="0"/>
    <x v="0"/>
    <x v="1"/>
    <x v="0"/>
    <n v="6518"/>
    <x v="5"/>
    <n v="977.7"/>
    <n v="20531.7"/>
  </r>
  <r>
    <x v="1"/>
    <s v="598-47-9715"/>
    <x v="1"/>
    <x v="1"/>
    <x v="1"/>
    <x v="1"/>
    <n v="8407"/>
    <x v="6"/>
    <n v="1681.4"/>
    <n v="35309.4"/>
  </r>
  <r>
    <x v="1"/>
    <s v="701-69-8742"/>
    <x v="2"/>
    <x v="2"/>
    <x v="1"/>
    <x v="5"/>
    <n v="3437"/>
    <x v="3"/>
    <n v="1718.5"/>
    <n v="36088.5"/>
  </r>
  <r>
    <x v="1"/>
    <s v="575-67-1508"/>
    <x v="0"/>
    <x v="0"/>
    <x v="1"/>
    <x v="1"/>
    <n v="386"/>
    <x v="8"/>
    <n v="19.3"/>
    <n v="405.3"/>
  </r>
  <r>
    <x v="1"/>
    <s v="541-08-3113"/>
    <x v="1"/>
    <x v="1"/>
    <x v="1"/>
    <x v="3"/>
    <n v="6597"/>
    <x v="7"/>
    <n v="2638.8"/>
    <n v="55414.8"/>
  </r>
  <r>
    <x v="1"/>
    <s v="674-15-9296"/>
    <x v="0"/>
    <x v="0"/>
    <x v="1"/>
    <x v="5"/>
    <n v="3714"/>
    <x v="1"/>
    <n v="928.5"/>
    <n v="19498.5"/>
  </r>
  <r>
    <x v="1"/>
    <s v="305-18-3552"/>
    <x v="2"/>
    <x v="2"/>
    <x v="0"/>
    <x v="2"/>
    <n v="6038"/>
    <x v="3"/>
    <n v="3019"/>
    <n v="63399"/>
  </r>
  <r>
    <x v="1"/>
    <s v="795-49-7276"/>
    <x v="0"/>
    <x v="0"/>
    <x v="1"/>
    <x v="4"/>
    <n v="3715"/>
    <x v="6"/>
    <n v="743"/>
    <n v="15603"/>
  </r>
  <r>
    <x v="1"/>
    <s v="556-72-8512"/>
    <x v="1"/>
    <x v="1"/>
    <x v="1"/>
    <x v="2"/>
    <n v="2296"/>
    <x v="8"/>
    <n v="114.80000000000001"/>
    <n v="2410.8000000000002"/>
  </r>
  <r>
    <x v="1"/>
    <s v="437-53-3084"/>
    <x v="2"/>
    <x v="2"/>
    <x v="1"/>
    <x v="4"/>
    <n v="9989"/>
    <x v="4"/>
    <n v="998.90000000000009"/>
    <n v="20976.9"/>
  </r>
  <r>
    <x v="1"/>
    <s v="632-32-4574"/>
    <x v="2"/>
    <x v="2"/>
    <x v="1"/>
    <x v="5"/>
    <n v="7592"/>
    <x v="7"/>
    <n v="3036.8"/>
    <n v="63772.800000000003"/>
  </r>
  <r>
    <x v="1"/>
    <s v="277-63-2961"/>
    <x v="2"/>
    <x v="2"/>
    <x v="0"/>
    <x v="5"/>
    <n v="7397"/>
    <x v="8"/>
    <n v="369.85"/>
    <n v="7766.85"/>
  </r>
  <r>
    <x v="1"/>
    <s v="620-02-2046"/>
    <x v="1"/>
    <x v="1"/>
    <x v="1"/>
    <x v="2"/>
    <n v="694"/>
    <x v="4"/>
    <n v="69.400000000000006"/>
    <n v="1457.4"/>
  </r>
  <r>
    <x v="1"/>
    <s v="511-54-3087"/>
    <x v="2"/>
    <x v="2"/>
    <x v="1"/>
    <x v="5"/>
    <n v="8845"/>
    <x v="8"/>
    <n v="442.25"/>
    <n v="9287.25"/>
  </r>
  <r>
    <x v="1"/>
    <s v="726-29-6793"/>
    <x v="0"/>
    <x v="0"/>
    <x v="0"/>
    <x v="1"/>
    <n v="2418"/>
    <x v="7"/>
    <n v="967.2"/>
    <n v="20311.2"/>
  </r>
  <r>
    <x v="1"/>
    <s v="291-21-5991"/>
    <x v="2"/>
    <x v="2"/>
    <x v="0"/>
    <x v="0"/>
    <n v="6129"/>
    <x v="1"/>
    <n v="1532.25"/>
    <n v="32177.25"/>
  </r>
  <r>
    <x v="1"/>
    <s v="189-52-0236"/>
    <x v="0"/>
    <x v="0"/>
    <x v="1"/>
    <x v="1"/>
    <n v="9955"/>
    <x v="0"/>
    <n v="3484.25"/>
    <n v="73169.25"/>
  </r>
  <r>
    <x v="1"/>
    <s v="503-07-0930"/>
    <x v="1"/>
    <x v="1"/>
    <x v="0"/>
    <x v="5"/>
    <n v="5839"/>
    <x v="0"/>
    <n v="2043.65"/>
    <n v="42916.65"/>
  </r>
  <r>
    <x v="1"/>
    <s v="425-85-2085"/>
    <x v="2"/>
    <x v="2"/>
    <x v="0"/>
    <x v="0"/>
    <n v="5486"/>
    <x v="1"/>
    <n v="1371.5"/>
    <n v="28801.5"/>
  </r>
  <r>
    <x v="1"/>
    <s v="521-18-7827"/>
    <x v="1"/>
    <x v="1"/>
    <x v="0"/>
    <x v="2"/>
    <n v="3939"/>
    <x v="1"/>
    <n v="984.75"/>
    <n v="20679.75"/>
  </r>
  <r>
    <x v="1"/>
    <s v="220-28-1851"/>
    <x v="0"/>
    <x v="0"/>
    <x v="1"/>
    <x v="2"/>
    <n v="3473"/>
    <x v="4"/>
    <n v="347.3"/>
    <n v="7293.3"/>
  </r>
  <r>
    <x v="1"/>
    <s v="600-38-9738"/>
    <x v="1"/>
    <x v="1"/>
    <x v="0"/>
    <x v="5"/>
    <n v="7192"/>
    <x v="1"/>
    <n v="1798"/>
    <n v="37758"/>
  </r>
  <r>
    <x v="1"/>
    <s v="133-14-7229"/>
    <x v="1"/>
    <x v="1"/>
    <x v="1"/>
    <x v="0"/>
    <n v="6287"/>
    <x v="4"/>
    <n v="628.70000000000005"/>
    <n v="13202.7"/>
  </r>
  <r>
    <x v="1"/>
    <s v="534-01-4457"/>
    <x v="0"/>
    <x v="0"/>
    <x v="1"/>
    <x v="3"/>
    <n v="8171"/>
    <x v="2"/>
    <n v="2451.3000000000002"/>
    <n v="51477.3"/>
  </r>
  <r>
    <x v="1"/>
    <s v="286-62-6248"/>
    <x v="2"/>
    <x v="2"/>
    <x v="1"/>
    <x v="4"/>
    <n v="3921"/>
    <x v="6"/>
    <n v="784.2"/>
    <n v="16468.2"/>
  </r>
  <r>
    <x v="1"/>
    <s v="339-38-9982"/>
    <x v="2"/>
    <x v="2"/>
    <x v="0"/>
    <x v="4"/>
    <n v="5986"/>
    <x v="4"/>
    <n v="598.6"/>
    <n v="12570.6"/>
  </r>
  <r>
    <x v="1"/>
    <s v="827-77-7633"/>
    <x v="0"/>
    <x v="0"/>
    <x v="1"/>
    <x v="5"/>
    <n v="9809"/>
    <x v="9"/>
    <n v="4414.05"/>
    <n v="92695.05"/>
  </r>
  <r>
    <x v="1"/>
    <s v="287-83-1405"/>
    <x v="0"/>
    <x v="0"/>
    <x v="1"/>
    <x v="0"/>
    <n v="2543"/>
    <x v="2"/>
    <n v="762.90000000000009"/>
    <n v="16020.9"/>
  </r>
  <r>
    <x v="1"/>
    <s v="435-13-4908"/>
    <x v="0"/>
    <x v="0"/>
    <x v="0"/>
    <x v="4"/>
    <n v="8668"/>
    <x v="7"/>
    <n v="3467.2000000000003"/>
    <n v="72811.199999999997"/>
  </r>
  <r>
    <x v="1"/>
    <s v="857-67-9057"/>
    <x v="2"/>
    <x v="2"/>
    <x v="1"/>
    <x v="1"/>
    <n v="2295"/>
    <x v="3"/>
    <n v="1147.5"/>
    <n v="24097.5"/>
  </r>
  <r>
    <x v="1"/>
    <s v="583-41-4548"/>
    <x v="1"/>
    <x v="1"/>
    <x v="1"/>
    <x v="2"/>
    <n v="1667"/>
    <x v="0"/>
    <n v="583.45000000000005"/>
    <n v="12252.45"/>
  </r>
  <r>
    <x v="1"/>
    <s v="643-38-7867"/>
    <x v="0"/>
    <x v="0"/>
    <x v="1"/>
    <x v="2"/>
    <n v="9794"/>
    <x v="8"/>
    <n v="489.70000000000005"/>
    <n v="10283.700000000001"/>
  </r>
  <r>
    <x v="1"/>
    <s v="460-35-4390"/>
    <x v="0"/>
    <x v="0"/>
    <x v="1"/>
    <x v="2"/>
    <n v="3068"/>
    <x v="5"/>
    <n v="460.20000000000005"/>
    <n v="9664.2000000000007"/>
  </r>
  <r>
    <x v="1"/>
    <s v="343-87-0864"/>
    <x v="1"/>
    <x v="1"/>
    <x v="0"/>
    <x v="0"/>
    <n v="7588"/>
    <x v="8"/>
    <n v="379.40000000000003"/>
    <n v="7967.4"/>
  </r>
  <r>
    <x v="1"/>
    <s v="243-47-2663"/>
    <x v="1"/>
    <x v="1"/>
    <x v="0"/>
    <x v="1"/>
    <n v="1877"/>
    <x v="2"/>
    <n v="563.1"/>
    <n v="11825.1"/>
  </r>
  <r>
    <x v="1"/>
    <s v="701-23-5550"/>
    <x v="2"/>
    <x v="2"/>
    <x v="0"/>
    <x v="2"/>
    <n v="3881"/>
    <x v="6"/>
    <n v="776.2"/>
    <n v="16300.2"/>
  </r>
  <r>
    <x v="1"/>
    <s v="541-48-8554"/>
    <x v="0"/>
    <x v="0"/>
    <x v="1"/>
    <x v="5"/>
    <n v="6095"/>
    <x v="9"/>
    <n v="2742.75"/>
    <n v="57597.75"/>
  </r>
  <r>
    <x v="1"/>
    <s v="747-58-7183"/>
    <x v="2"/>
    <x v="2"/>
    <x v="1"/>
    <x v="4"/>
    <n v="5727"/>
    <x v="5"/>
    <n v="859.05000000000007"/>
    <n v="18040.05"/>
  </r>
  <r>
    <x v="1"/>
    <s v="399-69-4630"/>
    <x v="1"/>
    <x v="1"/>
    <x v="1"/>
    <x v="1"/>
    <n v="2221"/>
    <x v="2"/>
    <n v="666.30000000000007"/>
    <n v="13992.3"/>
  </r>
  <r>
    <x v="1"/>
    <s v="134-75-2619"/>
    <x v="0"/>
    <x v="0"/>
    <x v="0"/>
    <x v="1"/>
    <n v="1932"/>
    <x v="0"/>
    <n v="676.2"/>
    <n v="14200.2"/>
  </r>
  <r>
    <x v="1"/>
    <s v="356-44-8813"/>
    <x v="2"/>
    <x v="2"/>
    <x v="1"/>
    <x v="2"/>
    <n v="3748"/>
    <x v="5"/>
    <n v="562.20000000000005"/>
    <n v="11806.2"/>
  </r>
  <r>
    <x v="1"/>
    <s v="712-39-0363"/>
    <x v="0"/>
    <x v="0"/>
    <x v="0"/>
    <x v="3"/>
    <n v="4166"/>
    <x v="2"/>
    <n v="1249.8000000000002"/>
    <n v="26245.8"/>
  </r>
  <r>
    <x v="1"/>
    <s v="174-75-0888"/>
    <x v="2"/>
    <x v="2"/>
    <x v="1"/>
    <x v="1"/>
    <n v="2158"/>
    <x v="9"/>
    <n v="971.1"/>
    <n v="20393.099999999999"/>
  </r>
  <r>
    <x v="1"/>
    <s v="866-99-7614"/>
    <x v="1"/>
    <x v="1"/>
    <x v="1"/>
    <x v="3"/>
    <n v="892"/>
    <x v="3"/>
    <n v="446"/>
    <n v="9366"/>
  </r>
  <r>
    <x v="1"/>
    <s v="760-90-2357"/>
    <x v="0"/>
    <x v="0"/>
    <x v="0"/>
    <x v="1"/>
    <n v="7451"/>
    <x v="2"/>
    <n v="2235.3000000000002"/>
    <n v="46941.3"/>
  </r>
  <r>
    <x v="1"/>
    <s v="514-37-2845"/>
    <x v="2"/>
    <x v="2"/>
    <x v="1"/>
    <x v="4"/>
    <n v="9925"/>
    <x v="4"/>
    <n v="992.5"/>
    <n v="20842.5"/>
  </r>
  <r>
    <x v="1"/>
    <s v="343-61-3544"/>
    <x v="2"/>
    <x v="2"/>
    <x v="0"/>
    <x v="5"/>
    <n v="2667"/>
    <x v="3"/>
    <n v="1333.5"/>
    <n v="28003.5"/>
  </r>
  <r>
    <x v="1"/>
    <s v="239-48-4278"/>
    <x v="0"/>
    <x v="0"/>
    <x v="0"/>
    <x v="3"/>
    <n v="1013"/>
    <x v="0"/>
    <n v="354.55"/>
    <n v="7445.55"/>
  </r>
  <r>
    <x v="1"/>
    <s v="355-34-6244"/>
    <x v="2"/>
    <x v="2"/>
    <x v="1"/>
    <x v="3"/>
    <n v="7239"/>
    <x v="4"/>
    <n v="723.90000000000009"/>
    <n v="15201.9"/>
  </r>
  <r>
    <x v="1"/>
    <s v="550-84-8664"/>
    <x v="0"/>
    <x v="0"/>
    <x v="1"/>
    <x v="5"/>
    <n v="8591"/>
    <x v="1"/>
    <n v="2147.75"/>
    <n v="45102.75"/>
  </r>
  <r>
    <x v="1"/>
    <s v="339-96-8318"/>
    <x v="2"/>
    <x v="2"/>
    <x v="0"/>
    <x v="4"/>
    <n v="8131"/>
    <x v="0"/>
    <n v="2845.8500000000004"/>
    <n v="59762.85"/>
  </r>
  <r>
    <x v="1"/>
    <s v="458-61-0011"/>
    <x v="2"/>
    <x v="2"/>
    <x v="1"/>
    <x v="3"/>
    <n v="603"/>
    <x v="6"/>
    <n v="120.60000000000001"/>
    <n v="2532.6"/>
  </r>
  <r>
    <x v="1"/>
    <s v="592-34-6155"/>
    <x v="1"/>
    <x v="1"/>
    <x v="1"/>
    <x v="3"/>
    <n v="3177"/>
    <x v="6"/>
    <n v="635.40000000000009"/>
    <n v="13343.4"/>
  </r>
  <r>
    <x v="1"/>
    <s v="207-73-1363"/>
    <x v="2"/>
    <x v="2"/>
    <x v="1"/>
    <x v="0"/>
    <n v="6951"/>
    <x v="4"/>
    <n v="695.1"/>
    <n v="14597.1"/>
  </r>
  <r>
    <x v="1"/>
    <s v="390-31-6381"/>
    <x v="1"/>
    <x v="1"/>
    <x v="1"/>
    <x v="3"/>
    <n v="2722"/>
    <x v="5"/>
    <n v="408.3"/>
    <n v="8574.2999999999993"/>
  </r>
  <r>
    <x v="1"/>
    <s v="375-72-3056"/>
    <x v="2"/>
    <x v="2"/>
    <x v="1"/>
    <x v="5"/>
    <n v="6306"/>
    <x v="5"/>
    <n v="945.90000000000009"/>
    <n v="19863.900000000001"/>
  </r>
  <r>
    <x v="1"/>
    <s v="127-47-6963"/>
    <x v="0"/>
    <x v="0"/>
    <x v="1"/>
    <x v="0"/>
    <n v="5171"/>
    <x v="6"/>
    <n v="1034.2"/>
    <n v="21718.2"/>
  </r>
  <r>
    <x v="1"/>
    <s v="379-17-6588"/>
    <x v="1"/>
    <x v="1"/>
    <x v="1"/>
    <x v="4"/>
    <n v="5961"/>
    <x v="3"/>
    <n v="2980.5"/>
    <n v="62590.5"/>
  </r>
  <r>
    <x v="1"/>
    <s v="227-50-3718"/>
    <x v="0"/>
    <x v="0"/>
    <x v="1"/>
    <x v="0"/>
    <n v="1462"/>
    <x v="1"/>
    <n v="365.5"/>
    <n v="7675.5"/>
  </r>
  <r>
    <x v="1"/>
    <s v="302-15-2162"/>
    <x v="1"/>
    <x v="1"/>
    <x v="0"/>
    <x v="0"/>
    <n v="4653"/>
    <x v="2"/>
    <n v="1395.9"/>
    <n v="29313.9"/>
  </r>
  <r>
    <x v="1"/>
    <s v="585-11-6748"/>
    <x v="2"/>
    <x v="2"/>
    <x v="0"/>
    <x v="5"/>
    <n v="968"/>
    <x v="5"/>
    <n v="145.20000000000002"/>
    <n v="3049.2"/>
  </r>
  <r>
    <x v="1"/>
    <s v="470-31-3286"/>
    <x v="2"/>
    <x v="2"/>
    <x v="1"/>
    <x v="0"/>
    <n v="1482"/>
    <x v="5"/>
    <n v="222.3"/>
    <n v="4668.3"/>
  </r>
  <r>
    <x v="1"/>
    <s v="152-68-2907"/>
    <x v="0"/>
    <x v="0"/>
    <x v="1"/>
    <x v="3"/>
    <n v="522"/>
    <x v="5"/>
    <n v="78.300000000000011"/>
    <n v="1644.3"/>
  </r>
  <r>
    <x v="1"/>
    <s v="219-61-4139"/>
    <x v="1"/>
    <x v="1"/>
    <x v="1"/>
    <x v="1"/>
    <n v="8308"/>
    <x v="8"/>
    <n v="415.40000000000003"/>
    <n v="8723.4"/>
  </r>
  <r>
    <x v="1"/>
    <s v="373-09-4567"/>
    <x v="1"/>
    <x v="1"/>
    <x v="1"/>
    <x v="3"/>
    <n v="7756"/>
    <x v="3"/>
    <n v="3878"/>
    <n v="81438"/>
  </r>
  <r>
    <x v="1"/>
    <s v="830-58-2383"/>
    <x v="2"/>
    <x v="2"/>
    <x v="1"/>
    <x v="2"/>
    <n v="3175"/>
    <x v="6"/>
    <n v="635"/>
    <n v="13335"/>
  </r>
  <r>
    <x v="1"/>
    <s v="318-12-0304"/>
    <x v="0"/>
    <x v="0"/>
    <x v="1"/>
    <x v="4"/>
    <n v="3061"/>
    <x v="8"/>
    <n v="153.05000000000001"/>
    <n v="3214.05"/>
  </r>
  <r>
    <x v="1"/>
    <s v="349-97-8902"/>
    <x v="2"/>
    <x v="2"/>
    <x v="0"/>
    <x v="3"/>
    <n v="5789"/>
    <x v="4"/>
    <n v="578.9"/>
    <n v="12156.9"/>
  </r>
  <r>
    <x v="1"/>
    <s v="789-23-8625"/>
    <x v="2"/>
    <x v="2"/>
    <x v="0"/>
    <x v="4"/>
    <n v="9322"/>
    <x v="5"/>
    <n v="1398.3000000000002"/>
    <n v="29364.3"/>
  </r>
  <r>
    <x v="1"/>
    <s v="284-54-4231"/>
    <x v="1"/>
    <x v="1"/>
    <x v="0"/>
    <x v="5"/>
    <n v="8093"/>
    <x v="8"/>
    <n v="404.65000000000003"/>
    <n v="8497.65"/>
  </r>
  <r>
    <x v="1"/>
    <s v="443-59-0061"/>
    <x v="0"/>
    <x v="0"/>
    <x v="0"/>
    <x v="3"/>
    <n v="6745"/>
    <x v="3"/>
    <n v="3372.5"/>
    <n v="70822.5"/>
  </r>
  <r>
    <x v="1"/>
    <s v="327-40-9673"/>
    <x v="2"/>
    <x v="2"/>
    <x v="0"/>
    <x v="5"/>
    <n v="726"/>
    <x v="2"/>
    <n v="217.8"/>
    <n v="4573.8"/>
  </r>
  <r>
    <x v="1"/>
    <s v="840-19-2096"/>
    <x v="1"/>
    <x v="1"/>
    <x v="0"/>
    <x v="1"/>
    <n v="8791"/>
    <x v="1"/>
    <n v="2197.75"/>
    <n v="46152.75"/>
  </r>
  <r>
    <x v="1"/>
    <s v="828-46-6863"/>
    <x v="0"/>
    <x v="0"/>
    <x v="0"/>
    <x v="3"/>
    <n v="9853"/>
    <x v="2"/>
    <n v="2955.9"/>
    <n v="62073.9"/>
  </r>
  <r>
    <x v="1"/>
    <s v="598-06-7312"/>
    <x v="2"/>
    <x v="2"/>
    <x v="0"/>
    <x v="4"/>
    <n v="9135"/>
    <x v="8"/>
    <n v="456.75"/>
    <n v="9591.75"/>
  </r>
  <r>
    <x v="1"/>
    <s v="816-57-2053"/>
    <x v="0"/>
    <x v="0"/>
    <x v="1"/>
    <x v="5"/>
    <n v="6087"/>
    <x v="4"/>
    <n v="608.70000000000005"/>
    <n v="12782.7"/>
  </r>
  <r>
    <x v="1"/>
    <s v="628-90-8624"/>
    <x v="2"/>
    <x v="2"/>
    <x v="0"/>
    <x v="0"/>
    <n v="8258"/>
    <x v="3"/>
    <n v="4129"/>
    <n v="86709"/>
  </r>
  <r>
    <x v="1"/>
    <s v="856-66-2701"/>
    <x v="0"/>
    <x v="0"/>
    <x v="0"/>
    <x v="2"/>
    <n v="533"/>
    <x v="5"/>
    <n v="79.95"/>
    <n v="1678.95"/>
  </r>
  <r>
    <x v="1"/>
    <s v="149-61-1929"/>
    <x v="0"/>
    <x v="0"/>
    <x v="1"/>
    <x v="5"/>
    <n v="6419"/>
    <x v="3"/>
    <n v="3209.5"/>
    <n v="67399.5"/>
  </r>
  <r>
    <x v="1"/>
    <s v="655-07-2265"/>
    <x v="0"/>
    <x v="0"/>
    <x v="1"/>
    <x v="1"/>
    <n v="7831"/>
    <x v="5"/>
    <n v="1174.6500000000001"/>
    <n v="24667.65"/>
  </r>
  <r>
    <x v="1"/>
    <s v="589-02-8023"/>
    <x v="0"/>
    <x v="0"/>
    <x v="0"/>
    <x v="3"/>
    <n v="8377"/>
    <x v="4"/>
    <n v="837.7"/>
    <n v="17591.7"/>
  </r>
  <r>
    <x v="1"/>
    <s v="420-04-7590"/>
    <x v="2"/>
    <x v="2"/>
    <x v="1"/>
    <x v="2"/>
    <n v="997"/>
    <x v="5"/>
    <n v="149.55000000000001"/>
    <n v="3140.55"/>
  </r>
  <r>
    <x v="1"/>
    <s v="182-88-2763"/>
    <x v="2"/>
    <x v="2"/>
    <x v="0"/>
    <x v="3"/>
    <n v="7991"/>
    <x v="5"/>
    <n v="1198.6500000000001"/>
    <n v="25171.65"/>
  </r>
  <r>
    <x v="1"/>
    <s v="188-55-0967"/>
    <x v="2"/>
    <x v="2"/>
    <x v="0"/>
    <x v="0"/>
    <n v="6647"/>
    <x v="3"/>
    <n v="3323.5"/>
    <n v="69793.5"/>
  </r>
  <r>
    <x v="1"/>
    <s v="610-46-4100"/>
    <x v="0"/>
    <x v="0"/>
    <x v="1"/>
    <x v="0"/>
    <n v="2895"/>
    <x v="0"/>
    <n v="1013.25"/>
    <n v="21278.25"/>
  </r>
  <r>
    <x v="1"/>
    <s v="665-63-9737"/>
    <x v="2"/>
    <x v="2"/>
    <x v="1"/>
    <x v="4"/>
    <n v="5242"/>
    <x v="5"/>
    <n v="786.30000000000007"/>
    <n v="16512.3"/>
  </r>
  <r>
    <x v="1"/>
    <s v="794-32-2436"/>
    <x v="2"/>
    <x v="2"/>
    <x v="0"/>
    <x v="1"/>
    <n v="5567"/>
    <x v="4"/>
    <n v="556.70000000000005"/>
    <n v="11690.7"/>
  </r>
  <r>
    <x v="1"/>
    <s v="273-84-2164"/>
    <x v="1"/>
    <x v="1"/>
    <x v="0"/>
    <x v="1"/>
    <n v="1205"/>
    <x v="1"/>
    <n v="301.25"/>
    <n v="6326.25"/>
  </r>
  <r>
    <x v="1"/>
    <s v="706-36-6154"/>
    <x v="0"/>
    <x v="0"/>
    <x v="0"/>
    <x v="2"/>
    <n v="1936"/>
    <x v="9"/>
    <n v="871.2"/>
    <n v="18295.2"/>
  </r>
  <r>
    <x v="1"/>
    <s v="778-89-7974"/>
    <x v="1"/>
    <x v="1"/>
    <x v="1"/>
    <x v="0"/>
    <n v="7021"/>
    <x v="2"/>
    <n v="2106.3000000000002"/>
    <n v="44232.3"/>
  </r>
  <r>
    <x v="1"/>
    <s v="574-31-8277"/>
    <x v="2"/>
    <x v="2"/>
    <x v="0"/>
    <x v="4"/>
    <n v="3363"/>
    <x v="8"/>
    <n v="168.15"/>
    <n v="3531.15"/>
  </r>
  <r>
    <x v="1"/>
    <s v="740-11-5257"/>
    <x v="1"/>
    <x v="1"/>
    <x v="1"/>
    <x v="1"/>
    <n v="2474"/>
    <x v="3"/>
    <n v="1237"/>
    <n v="25977"/>
  </r>
  <r>
    <x v="1"/>
    <s v="369-82-2676"/>
    <x v="2"/>
    <x v="2"/>
    <x v="1"/>
    <x v="1"/>
    <n v="7566"/>
    <x v="1"/>
    <n v="1891.5"/>
    <n v="39721.5"/>
  </r>
  <r>
    <x v="1"/>
    <s v="742-04-5161"/>
    <x v="0"/>
    <x v="0"/>
    <x v="0"/>
    <x v="2"/>
    <n v="7278"/>
    <x v="3"/>
    <n v="3639"/>
    <n v="76419"/>
  </r>
  <r>
    <x v="1"/>
    <s v="149-15-7606"/>
    <x v="2"/>
    <x v="2"/>
    <x v="0"/>
    <x v="5"/>
    <n v="3732"/>
    <x v="9"/>
    <n v="1679.4"/>
    <n v="35267.4"/>
  </r>
  <r>
    <x v="1"/>
    <s v="133-77-3154"/>
    <x v="2"/>
    <x v="2"/>
    <x v="0"/>
    <x v="4"/>
    <n v="6018"/>
    <x v="6"/>
    <n v="1203.6000000000001"/>
    <n v="25275.599999999999"/>
  </r>
  <r>
    <x v="1"/>
    <s v="491-38-3499"/>
    <x v="0"/>
    <x v="0"/>
    <x v="0"/>
    <x v="4"/>
    <n v="5545"/>
    <x v="8"/>
    <n v="277.25"/>
    <n v="5822.25"/>
  </r>
  <r>
    <x v="1"/>
    <s v="842-29-4695"/>
    <x v="1"/>
    <x v="1"/>
    <x v="0"/>
    <x v="5"/>
    <n v="1714"/>
    <x v="0"/>
    <n v="599.9"/>
    <n v="12597.9"/>
  </r>
  <r>
    <x v="1"/>
    <s v="779-42-2410"/>
    <x v="2"/>
    <x v="2"/>
    <x v="0"/>
    <x v="3"/>
    <n v="5774"/>
    <x v="5"/>
    <n v="866.1"/>
    <n v="18188.099999999999"/>
  </r>
  <r>
    <x v="1"/>
    <s v="588-47-8641"/>
    <x v="0"/>
    <x v="0"/>
    <x v="0"/>
    <x v="4"/>
    <n v="5604"/>
    <x v="3"/>
    <n v="2802"/>
    <n v="58842"/>
  </r>
  <r>
    <x v="1"/>
    <s v="642-61-4706"/>
    <x v="2"/>
    <x v="2"/>
    <x v="0"/>
    <x v="3"/>
    <n v="934"/>
    <x v="4"/>
    <n v="93.4"/>
    <n v="1961.4"/>
  </r>
  <r>
    <x v="1"/>
    <s v="556-41-6224"/>
    <x v="1"/>
    <x v="1"/>
    <x v="1"/>
    <x v="0"/>
    <n v="3364"/>
    <x v="7"/>
    <n v="1345.6000000000001"/>
    <n v="28257.599999999999"/>
  </r>
  <r>
    <x v="1"/>
    <s v="242-11-3142"/>
    <x v="2"/>
    <x v="2"/>
    <x v="0"/>
    <x v="4"/>
    <n v="8377"/>
    <x v="4"/>
    <n v="837.7"/>
    <n v="17591.7"/>
  </r>
  <r>
    <x v="1"/>
    <s v="648-94-3045"/>
    <x v="1"/>
    <x v="1"/>
    <x v="1"/>
    <x v="0"/>
    <n v="5895"/>
    <x v="3"/>
    <n v="2947.5"/>
    <n v="61897.5"/>
  </r>
  <r>
    <x v="1"/>
    <s v="130-67-4723"/>
    <x v="0"/>
    <x v="0"/>
    <x v="0"/>
    <x v="3"/>
    <n v="485"/>
    <x v="2"/>
    <n v="145.5"/>
    <n v="3055.5"/>
  </r>
  <r>
    <x v="1"/>
    <s v="105-10-6182"/>
    <x v="0"/>
    <x v="0"/>
    <x v="0"/>
    <x v="4"/>
    <n v="2148"/>
    <x v="4"/>
    <n v="214.8"/>
    <n v="4510.8"/>
  </r>
  <r>
    <x v="1"/>
    <s v="648-83-1321"/>
    <x v="0"/>
    <x v="0"/>
    <x v="0"/>
    <x v="2"/>
    <n v="6356"/>
    <x v="3"/>
    <n v="3178"/>
    <n v="66738"/>
  </r>
  <r>
    <x v="1"/>
    <s v="173-57-2300"/>
    <x v="1"/>
    <x v="1"/>
    <x v="0"/>
    <x v="5"/>
    <n v="7288"/>
    <x v="4"/>
    <n v="728.80000000000007"/>
    <n v="15304.8"/>
  </r>
  <r>
    <x v="1"/>
    <s v="266-20-6657"/>
    <x v="1"/>
    <x v="1"/>
    <x v="0"/>
    <x v="3"/>
    <n v="5504"/>
    <x v="0"/>
    <n v="1926.4"/>
    <n v="40454.400000000001"/>
  </r>
  <r>
    <x v="1"/>
    <s v="689-05-1884"/>
    <x v="0"/>
    <x v="0"/>
    <x v="0"/>
    <x v="0"/>
    <n v="4863"/>
    <x v="3"/>
    <n v="2431.5"/>
    <n v="51061.5"/>
  </r>
  <r>
    <x v="1"/>
    <s v="826-58-8051"/>
    <x v="2"/>
    <x v="2"/>
    <x v="1"/>
    <x v="2"/>
    <n v="6219"/>
    <x v="6"/>
    <n v="1243.8000000000002"/>
    <n v="26119.8"/>
  </r>
  <r>
    <x v="1"/>
    <s v="868-06-0466"/>
    <x v="0"/>
    <x v="0"/>
    <x v="0"/>
    <x v="1"/>
    <n v="6958"/>
    <x v="9"/>
    <n v="3131.1000000000004"/>
    <n v="65753.100000000006"/>
  </r>
  <r>
    <x v="1"/>
    <s v="751-41-9720"/>
    <x v="1"/>
    <x v="1"/>
    <x v="1"/>
    <x v="2"/>
    <n v="975"/>
    <x v="3"/>
    <n v="487.5"/>
    <n v="10237.5"/>
  </r>
  <r>
    <x v="1"/>
    <s v="176-64-7711"/>
    <x v="2"/>
    <x v="2"/>
    <x v="1"/>
    <x v="3"/>
    <n v="3232"/>
    <x v="5"/>
    <n v="484.8"/>
    <n v="10180.799999999999"/>
  </r>
  <r>
    <x v="1"/>
    <s v="729-06-2010"/>
    <x v="2"/>
    <x v="2"/>
    <x v="0"/>
    <x v="0"/>
    <n v="8047"/>
    <x v="9"/>
    <n v="3621.15"/>
    <n v="76044.149999999994"/>
  </r>
  <r>
    <x v="1"/>
    <s v="186-79-9562"/>
    <x v="2"/>
    <x v="2"/>
    <x v="1"/>
    <x v="0"/>
    <n v="7177"/>
    <x v="0"/>
    <n v="2511.9500000000003"/>
    <n v="52750.95"/>
  </r>
  <r>
    <x v="1"/>
    <s v="162-65-8559"/>
    <x v="1"/>
    <x v="1"/>
    <x v="0"/>
    <x v="3"/>
    <n v="6898"/>
    <x v="8"/>
    <n v="344.90000000000003"/>
    <n v="7242.9"/>
  </r>
  <r>
    <x v="1"/>
    <s v="760-27-5490"/>
    <x v="1"/>
    <x v="1"/>
    <x v="1"/>
    <x v="4"/>
    <n v="1562"/>
    <x v="7"/>
    <n v="624.80000000000007"/>
    <n v="13120.8"/>
  </r>
  <r>
    <x v="1"/>
    <s v="445-30-9252"/>
    <x v="0"/>
    <x v="0"/>
    <x v="1"/>
    <x v="5"/>
    <n v="257"/>
    <x v="5"/>
    <n v="38.550000000000004"/>
    <n v="809.55"/>
  </r>
  <r>
    <x v="1"/>
    <s v="786-94-2700"/>
    <x v="0"/>
    <x v="0"/>
    <x v="0"/>
    <x v="3"/>
    <n v="8062"/>
    <x v="2"/>
    <n v="2418.6"/>
    <n v="50790.6"/>
  </r>
  <r>
    <x v="1"/>
    <s v="735-32-9839"/>
    <x v="1"/>
    <x v="1"/>
    <x v="0"/>
    <x v="4"/>
    <n v="987"/>
    <x v="7"/>
    <n v="394.8"/>
    <n v="8290.7999999999993"/>
  </r>
  <r>
    <x v="1"/>
    <s v="482-17-1179"/>
    <x v="0"/>
    <x v="0"/>
    <x v="0"/>
    <x v="1"/>
    <n v="1194"/>
    <x v="5"/>
    <n v="179.10000000000002"/>
    <n v="3761.1"/>
  </r>
  <r>
    <x v="1"/>
    <s v="788-21-5741"/>
    <x v="0"/>
    <x v="0"/>
    <x v="1"/>
    <x v="4"/>
    <n v="4538"/>
    <x v="5"/>
    <n v="680.7"/>
    <n v="14294.7"/>
  </r>
  <r>
    <x v="1"/>
    <s v="776-68-1096"/>
    <x v="2"/>
    <x v="2"/>
    <x v="1"/>
    <x v="2"/>
    <n v="4412"/>
    <x v="5"/>
    <n v="661.80000000000007"/>
    <n v="13897.8"/>
  </r>
  <r>
    <x v="1"/>
    <s v="434-35-9162"/>
    <x v="2"/>
    <x v="2"/>
    <x v="0"/>
    <x v="3"/>
    <n v="2334"/>
    <x v="6"/>
    <n v="466.8"/>
    <n v="9802.7999999999993"/>
  </r>
  <r>
    <x v="1"/>
    <s v="442-44-6497"/>
    <x v="1"/>
    <x v="1"/>
    <x v="0"/>
    <x v="2"/>
    <n v="5557"/>
    <x v="5"/>
    <n v="833.55000000000007"/>
    <n v="17504.55"/>
  </r>
  <r>
    <x v="1"/>
    <s v="174-64-0215"/>
    <x v="2"/>
    <x v="2"/>
    <x v="1"/>
    <x v="5"/>
    <n v="6974"/>
    <x v="3"/>
    <n v="3487"/>
    <n v="73227"/>
  </r>
  <r>
    <x v="1"/>
    <s v="210-74-9613"/>
    <x v="1"/>
    <x v="1"/>
    <x v="1"/>
    <x v="4"/>
    <n v="9726"/>
    <x v="6"/>
    <n v="1945.2"/>
    <n v="40849.199999999997"/>
  </r>
  <r>
    <x v="1"/>
    <s v="635-28-5728"/>
    <x v="0"/>
    <x v="0"/>
    <x v="1"/>
    <x v="0"/>
    <n v="56"/>
    <x v="5"/>
    <n v="8.4"/>
    <n v="176.4"/>
  </r>
  <r>
    <x v="1"/>
    <s v="756-49-0168"/>
    <x v="0"/>
    <x v="0"/>
    <x v="0"/>
    <x v="4"/>
    <n v="197"/>
    <x v="8"/>
    <n v="9.8500000000000014"/>
    <n v="206.85"/>
  </r>
  <r>
    <x v="1"/>
    <s v="438-23-1242"/>
    <x v="2"/>
    <x v="2"/>
    <x v="1"/>
    <x v="1"/>
    <n v="7588"/>
    <x v="0"/>
    <n v="2655.8"/>
    <n v="55771.8"/>
  </r>
  <r>
    <x v="1"/>
    <s v="238-45-6950"/>
    <x v="2"/>
    <x v="2"/>
    <x v="0"/>
    <x v="3"/>
    <n v="5372"/>
    <x v="8"/>
    <n v="268.60000000000002"/>
    <n v="5640.6"/>
  </r>
  <r>
    <x v="1"/>
    <s v="607-65-2441"/>
    <x v="1"/>
    <x v="1"/>
    <x v="0"/>
    <x v="0"/>
    <n v="8195"/>
    <x v="3"/>
    <n v="4097.5"/>
    <n v="86047.5"/>
  </r>
  <r>
    <x v="1"/>
    <s v="137-63-5492"/>
    <x v="1"/>
    <x v="1"/>
    <x v="1"/>
    <x v="1"/>
    <n v="5876"/>
    <x v="3"/>
    <n v="2938"/>
    <n v="61698"/>
  </r>
  <r>
    <x v="1"/>
    <s v="197-77-7132"/>
    <x v="2"/>
    <x v="2"/>
    <x v="0"/>
    <x v="1"/>
    <n v="9156"/>
    <x v="7"/>
    <n v="3662.4"/>
    <n v="76910.399999999994"/>
  </r>
  <r>
    <x v="1"/>
    <s v="805-86-0265"/>
    <x v="0"/>
    <x v="0"/>
    <x v="1"/>
    <x v="2"/>
    <n v="9396"/>
    <x v="9"/>
    <n v="4228.2"/>
    <n v="88792.2"/>
  </r>
  <r>
    <x v="1"/>
    <s v="733-29-1227"/>
    <x v="1"/>
    <x v="1"/>
    <x v="1"/>
    <x v="2"/>
    <n v="5561"/>
    <x v="0"/>
    <n v="1946.3500000000001"/>
    <n v="40873.35"/>
  </r>
  <r>
    <x v="1"/>
    <s v="451-73-2711"/>
    <x v="1"/>
    <x v="1"/>
    <x v="1"/>
    <x v="3"/>
    <n v="8483"/>
    <x v="8"/>
    <n v="424.15000000000003"/>
    <n v="8907.15"/>
  </r>
  <r>
    <x v="1"/>
    <s v="546-80-2899"/>
    <x v="0"/>
    <x v="0"/>
    <x v="0"/>
    <x v="2"/>
    <n v="3769"/>
    <x v="4"/>
    <n v="376.90000000000003"/>
    <n v="7914.9"/>
  </r>
  <r>
    <x v="1"/>
    <s v="457-13-1708"/>
    <x v="2"/>
    <x v="2"/>
    <x v="0"/>
    <x v="4"/>
    <n v="6523"/>
    <x v="3"/>
    <n v="3261.5"/>
    <n v="68491.5"/>
  </r>
  <r>
    <x v="1"/>
    <s v="314-23-4520"/>
    <x v="1"/>
    <x v="1"/>
    <x v="0"/>
    <x v="0"/>
    <n v="8123"/>
    <x v="0"/>
    <n v="2843.05"/>
    <n v="59704.05"/>
  </r>
  <r>
    <x v="1"/>
    <s v="775-72-1988"/>
    <x v="2"/>
    <x v="2"/>
    <x v="1"/>
    <x v="2"/>
    <n v="7328"/>
    <x v="1"/>
    <n v="1832"/>
    <n v="38472"/>
  </r>
  <r>
    <x v="1"/>
    <s v="250-17-5703"/>
    <x v="0"/>
    <x v="0"/>
    <x v="0"/>
    <x v="3"/>
    <n v="1885"/>
    <x v="3"/>
    <n v="942.5"/>
    <n v="19792.5"/>
  </r>
  <r>
    <x v="1"/>
    <s v="525-09-8450"/>
    <x v="2"/>
    <x v="2"/>
    <x v="1"/>
    <x v="1"/>
    <n v="7213"/>
    <x v="3"/>
    <n v="3606.5"/>
    <n v="75736.5"/>
  </r>
  <r>
    <x v="1"/>
    <s v="787-87-2010"/>
    <x v="0"/>
    <x v="0"/>
    <x v="0"/>
    <x v="0"/>
    <n v="555"/>
    <x v="6"/>
    <n v="111"/>
    <n v="2331"/>
  </r>
  <r>
    <x v="1"/>
    <s v="388-76-2555"/>
    <x v="2"/>
    <x v="2"/>
    <x v="1"/>
    <x v="5"/>
    <n v="1369"/>
    <x v="2"/>
    <n v="410.70000000000005"/>
    <n v="8624.7000000000007"/>
  </r>
  <r>
    <x v="1"/>
    <s v="200-16-5952"/>
    <x v="1"/>
    <x v="1"/>
    <x v="0"/>
    <x v="3"/>
    <n v="6565"/>
    <x v="4"/>
    <n v="656.5"/>
    <n v="13786.5"/>
  </r>
  <r>
    <x v="1"/>
    <s v="102-77-2261"/>
    <x v="1"/>
    <x v="1"/>
    <x v="0"/>
    <x v="0"/>
    <n v="6531"/>
    <x v="0"/>
    <n v="2285.85"/>
    <n v="48002.85"/>
  </r>
  <r>
    <x v="1"/>
    <s v="875-31-8302"/>
    <x v="2"/>
    <x v="2"/>
    <x v="1"/>
    <x v="5"/>
    <n v="9338"/>
    <x v="8"/>
    <n v="466.90000000000003"/>
    <n v="9804.9"/>
  </r>
  <r>
    <x v="1"/>
    <s v="102-06-2002"/>
    <x v="1"/>
    <x v="1"/>
    <x v="0"/>
    <x v="5"/>
    <n v="2525"/>
    <x v="1"/>
    <n v="631.25"/>
    <n v="13256.25"/>
  </r>
  <r>
    <x v="1"/>
    <s v="457-94-0464"/>
    <x v="2"/>
    <x v="2"/>
    <x v="0"/>
    <x v="1"/>
    <n v="8787"/>
    <x v="9"/>
    <n v="3954.15"/>
    <n v="83037.149999999994"/>
  </r>
  <r>
    <x v="1"/>
    <s v="629-42-4133"/>
    <x v="1"/>
    <x v="1"/>
    <x v="1"/>
    <x v="0"/>
    <n v="218"/>
    <x v="7"/>
    <n v="87.2"/>
    <n v="1831.2"/>
  </r>
  <r>
    <x v="1"/>
    <s v="404-91-5964"/>
    <x v="0"/>
    <x v="0"/>
    <x v="1"/>
    <x v="1"/>
    <n v="7458"/>
    <x v="0"/>
    <n v="2610.3000000000002"/>
    <n v="54816.3"/>
  </r>
  <r>
    <x v="1"/>
    <s v="886-77-9084"/>
    <x v="1"/>
    <x v="1"/>
    <x v="1"/>
    <x v="1"/>
    <n v="7189"/>
    <x v="7"/>
    <n v="2875.6000000000004"/>
    <n v="60387.6"/>
  </r>
  <r>
    <x v="1"/>
    <s v="704-10-4056"/>
    <x v="1"/>
    <x v="1"/>
    <x v="0"/>
    <x v="0"/>
    <n v="6047"/>
    <x v="5"/>
    <n v="907.05000000000007"/>
    <n v="19048.05"/>
  </r>
  <r>
    <x v="1"/>
    <s v="497-37-6538"/>
    <x v="0"/>
    <x v="0"/>
    <x v="1"/>
    <x v="5"/>
    <n v="5891"/>
    <x v="0"/>
    <n v="2061.85"/>
    <n v="43298.85"/>
  </r>
  <r>
    <x v="1"/>
    <s v="651-96-5970"/>
    <x v="0"/>
    <x v="0"/>
    <x v="1"/>
    <x v="4"/>
    <n v="4641"/>
    <x v="8"/>
    <n v="232.05"/>
    <n v="4873.05"/>
  </r>
  <r>
    <x v="1"/>
    <s v="400-80-4065"/>
    <x v="1"/>
    <x v="1"/>
    <x v="0"/>
    <x v="0"/>
    <n v="6855"/>
    <x v="6"/>
    <n v="1371"/>
    <n v="28791"/>
  </r>
  <r>
    <x v="1"/>
    <s v="263-12-5321"/>
    <x v="0"/>
    <x v="0"/>
    <x v="0"/>
    <x v="1"/>
    <n v="926"/>
    <x v="0"/>
    <n v="324.10000000000002"/>
    <n v="6806.1"/>
  </r>
  <r>
    <x v="1"/>
    <s v="605-83-1050"/>
    <x v="2"/>
    <x v="2"/>
    <x v="1"/>
    <x v="4"/>
    <n v="2718"/>
    <x v="4"/>
    <n v="271.8"/>
    <n v="5707.8"/>
  </r>
  <r>
    <x v="1"/>
    <s v="359-94-5395"/>
    <x v="2"/>
    <x v="2"/>
    <x v="1"/>
    <x v="0"/>
    <n v="9278"/>
    <x v="8"/>
    <n v="463.90000000000003"/>
    <n v="9741.9"/>
  </r>
  <r>
    <x v="1"/>
    <s v="401-09-4232"/>
    <x v="1"/>
    <x v="1"/>
    <x v="0"/>
    <x v="2"/>
    <n v="8669"/>
    <x v="1"/>
    <n v="2167.25"/>
    <n v="45512.25"/>
  </r>
  <r>
    <x v="1"/>
    <s v="751-15-6198"/>
    <x v="2"/>
    <x v="2"/>
    <x v="1"/>
    <x v="5"/>
    <n v="2301"/>
    <x v="2"/>
    <n v="690.30000000000007"/>
    <n v="14496.3"/>
  </r>
  <r>
    <x v="1"/>
    <s v="474-33-8305"/>
    <x v="1"/>
    <x v="1"/>
    <x v="0"/>
    <x v="4"/>
    <n v="6739"/>
    <x v="0"/>
    <n v="2358.65"/>
    <n v="49531.65"/>
  </r>
  <r>
    <x v="1"/>
    <s v="565-91-4567"/>
    <x v="2"/>
    <x v="2"/>
    <x v="1"/>
    <x v="0"/>
    <n v="1075"/>
    <x v="7"/>
    <n v="430"/>
    <n v="9030"/>
  </r>
  <r>
    <x v="1"/>
    <s v="674-56-6360"/>
    <x v="0"/>
    <x v="0"/>
    <x v="1"/>
    <x v="1"/>
    <n v="9515"/>
    <x v="8"/>
    <n v="475.75"/>
    <n v="9990.75"/>
  </r>
  <r>
    <x v="1"/>
    <s v="832-51-6761"/>
    <x v="0"/>
    <x v="0"/>
    <x v="1"/>
    <x v="3"/>
    <n v="3388"/>
    <x v="7"/>
    <n v="1355.2"/>
    <n v="28459.200000000001"/>
  </r>
  <r>
    <x v="1"/>
    <s v="869-11-3082"/>
    <x v="2"/>
    <x v="2"/>
    <x v="0"/>
    <x v="0"/>
    <n v="9616"/>
    <x v="6"/>
    <n v="1923.2"/>
    <n v="40387.199999999997"/>
  </r>
  <r>
    <x v="1"/>
    <s v="190-59-3964"/>
    <x v="2"/>
    <x v="2"/>
    <x v="0"/>
    <x v="3"/>
    <n v="4716"/>
    <x v="1"/>
    <n v="1179"/>
    <n v="24759"/>
  </r>
  <r>
    <x v="1"/>
    <s v="366-43-6862"/>
    <x v="2"/>
    <x v="2"/>
    <x v="1"/>
    <x v="1"/>
    <n v="5289"/>
    <x v="6"/>
    <n v="1057.8"/>
    <n v="22213.8"/>
  </r>
  <r>
    <x v="1"/>
    <s v="784-21-9238"/>
    <x v="1"/>
    <x v="1"/>
    <x v="0"/>
    <x v="5"/>
    <n v="1017"/>
    <x v="8"/>
    <n v="50.85"/>
    <n v="1067.8499999999999"/>
  </r>
  <r>
    <x v="1"/>
    <s v="760-53-9233"/>
    <x v="0"/>
    <x v="0"/>
    <x v="0"/>
    <x v="4"/>
    <n v="4128"/>
    <x v="5"/>
    <n v="619.20000000000005"/>
    <n v="13003.2"/>
  </r>
  <r>
    <x v="1"/>
    <s v="538-22-0304"/>
    <x v="1"/>
    <x v="1"/>
    <x v="1"/>
    <x v="1"/>
    <n v="6495"/>
    <x v="3"/>
    <n v="3247.5"/>
    <n v="68197.5"/>
  </r>
  <r>
    <x v="1"/>
    <s v="237-44-6163"/>
    <x v="0"/>
    <x v="0"/>
    <x v="1"/>
    <x v="1"/>
    <n v="1056"/>
    <x v="7"/>
    <n v="422.40000000000003"/>
    <n v="8870.4"/>
  </r>
  <r>
    <x v="1"/>
    <s v="636-17-0325"/>
    <x v="2"/>
    <x v="2"/>
    <x v="1"/>
    <x v="0"/>
    <n v="6257"/>
    <x v="6"/>
    <n v="1251.4000000000001"/>
    <n v="26279.4"/>
  </r>
  <r>
    <x v="1"/>
    <s v="528-14-9470"/>
    <x v="0"/>
    <x v="0"/>
    <x v="0"/>
    <x v="0"/>
    <n v="913"/>
    <x v="8"/>
    <n v="45.650000000000006"/>
    <n v="958.65"/>
  </r>
  <r>
    <x v="1"/>
    <s v="807-34-3742"/>
    <x v="0"/>
    <x v="0"/>
    <x v="1"/>
    <x v="4"/>
    <n v="5238"/>
    <x v="8"/>
    <n v="261.90000000000003"/>
    <n v="5499.9"/>
  </r>
  <r>
    <x v="1"/>
    <s v="288-62-1085"/>
    <x v="0"/>
    <x v="0"/>
    <x v="0"/>
    <x v="4"/>
    <n v="3854"/>
    <x v="1"/>
    <n v="963.5"/>
    <n v="20233.5"/>
  </r>
  <r>
    <x v="1"/>
    <s v="670-71-7306"/>
    <x v="2"/>
    <x v="2"/>
    <x v="1"/>
    <x v="5"/>
    <n v="4463"/>
    <x v="2"/>
    <n v="1338.9"/>
    <n v="28116.9"/>
  </r>
  <r>
    <x v="1"/>
    <s v="660-29-7083"/>
    <x v="1"/>
    <x v="1"/>
    <x v="1"/>
    <x v="1"/>
    <n v="5587"/>
    <x v="3"/>
    <n v="2793.5"/>
    <n v="58663.5"/>
  </r>
  <r>
    <x v="1"/>
    <s v="497-36-0989"/>
    <x v="0"/>
    <x v="0"/>
    <x v="1"/>
    <x v="4"/>
    <n v="5194"/>
    <x v="5"/>
    <n v="779.1"/>
    <n v="16361.1"/>
  </r>
  <r>
    <x v="1"/>
    <s v="291-59-1384"/>
    <x v="2"/>
    <x v="2"/>
    <x v="1"/>
    <x v="1"/>
    <n v="603"/>
    <x v="8"/>
    <n v="30.150000000000002"/>
    <n v="633.15"/>
  </r>
  <r>
    <x v="1"/>
    <s v="896-34-0956"/>
    <x v="0"/>
    <x v="0"/>
    <x v="1"/>
    <x v="4"/>
    <n v="2132"/>
    <x v="8"/>
    <n v="106.60000000000001"/>
    <n v="2238.6"/>
  </r>
  <r>
    <x v="1"/>
    <s v="804-38-3935"/>
    <x v="0"/>
    <x v="0"/>
    <x v="0"/>
    <x v="1"/>
    <n v="9378"/>
    <x v="5"/>
    <n v="1406.7"/>
    <n v="29540.7"/>
  </r>
  <r>
    <x v="1"/>
    <s v="585-90-0249"/>
    <x v="0"/>
    <x v="0"/>
    <x v="0"/>
    <x v="1"/>
    <n v="7326"/>
    <x v="8"/>
    <n v="366.3"/>
    <n v="7692.3"/>
  </r>
  <r>
    <x v="1"/>
    <s v="843-73-4724"/>
    <x v="0"/>
    <x v="0"/>
    <x v="1"/>
    <x v="4"/>
    <n v="741"/>
    <x v="8"/>
    <n v="37.050000000000004"/>
    <n v="778.05"/>
  </r>
  <r>
    <x v="1"/>
    <s v="658-66-3967"/>
    <x v="1"/>
    <x v="1"/>
    <x v="1"/>
    <x v="0"/>
    <n v="5319"/>
    <x v="0"/>
    <n v="1861.65"/>
    <n v="39094.65"/>
  </r>
  <r>
    <x v="1"/>
    <s v="770-42-8960"/>
    <x v="2"/>
    <x v="2"/>
    <x v="1"/>
    <x v="3"/>
    <n v="2112"/>
    <x v="7"/>
    <n v="844.80000000000007"/>
    <n v="17740.8"/>
  </r>
  <r>
    <x v="1"/>
    <s v="234-36-2483"/>
    <x v="2"/>
    <x v="2"/>
    <x v="1"/>
    <x v="0"/>
    <n v="5759"/>
    <x v="2"/>
    <n v="1727.7"/>
    <n v="36281.699999999997"/>
  </r>
  <r>
    <x v="1"/>
    <s v="840-76-5966"/>
    <x v="0"/>
    <x v="0"/>
    <x v="0"/>
    <x v="5"/>
    <n v="1276"/>
    <x v="4"/>
    <n v="127.60000000000001"/>
    <n v="2679.6"/>
  </r>
  <r>
    <x v="1"/>
    <s v="176-78-1170"/>
    <x v="1"/>
    <x v="1"/>
    <x v="0"/>
    <x v="0"/>
    <n v="3381"/>
    <x v="5"/>
    <n v="507.15000000000003"/>
    <n v="10650.15"/>
  </r>
  <r>
    <x v="1"/>
    <s v="361-59-0574"/>
    <x v="2"/>
    <x v="2"/>
    <x v="0"/>
    <x v="5"/>
    <n v="9053"/>
    <x v="7"/>
    <n v="3621.2000000000003"/>
    <n v="76045.2"/>
  </r>
  <r>
    <x v="1"/>
    <s v="631-34-1880"/>
    <x v="1"/>
    <x v="1"/>
    <x v="0"/>
    <x v="3"/>
    <n v="2431"/>
    <x v="5"/>
    <n v="364.65000000000003"/>
    <n v="7657.65"/>
  </r>
  <r>
    <x v="1"/>
    <s v="852-82-2749"/>
    <x v="0"/>
    <x v="0"/>
    <x v="1"/>
    <x v="5"/>
    <n v="6459"/>
    <x v="6"/>
    <n v="1291.8000000000002"/>
    <n v="27127.8"/>
  </r>
  <r>
    <x v="1"/>
    <s v="873-14-6353"/>
    <x v="0"/>
    <x v="0"/>
    <x v="0"/>
    <x v="3"/>
    <n v="2482"/>
    <x v="0"/>
    <n v="868.7"/>
    <n v="18242.7"/>
  </r>
  <r>
    <x v="1"/>
    <s v="584-66-4073"/>
    <x v="1"/>
    <x v="1"/>
    <x v="1"/>
    <x v="4"/>
    <n v="565"/>
    <x v="8"/>
    <n v="28.25"/>
    <n v="593.25"/>
  </r>
  <r>
    <x v="1"/>
    <s v="166-19-2553"/>
    <x v="0"/>
    <x v="0"/>
    <x v="0"/>
    <x v="5"/>
    <n v="8906"/>
    <x v="2"/>
    <n v="2671.8"/>
    <n v="56107.8"/>
  </r>
  <r>
    <x v="1"/>
    <s v="737-88-5876"/>
    <x v="0"/>
    <x v="0"/>
    <x v="0"/>
    <x v="2"/>
    <n v="2329"/>
    <x v="6"/>
    <n v="465.8"/>
    <n v="9781.7999999999993"/>
  </r>
  <r>
    <x v="1"/>
    <s v="154-87-7367"/>
    <x v="1"/>
    <x v="1"/>
    <x v="1"/>
    <x v="2"/>
    <n v="6526"/>
    <x v="7"/>
    <n v="2610.4"/>
    <n v="54818.400000000001"/>
  </r>
  <r>
    <x v="1"/>
    <s v="885-56-0389"/>
    <x v="1"/>
    <x v="1"/>
    <x v="0"/>
    <x v="4"/>
    <n v="5235"/>
    <x v="8"/>
    <n v="261.75"/>
    <n v="5496.75"/>
  </r>
  <r>
    <x v="1"/>
    <s v="608-05-3804"/>
    <x v="2"/>
    <x v="2"/>
    <x v="0"/>
    <x v="1"/>
    <n v="3975"/>
    <x v="8"/>
    <n v="198.75"/>
    <n v="4173.75"/>
  </r>
  <r>
    <x v="1"/>
    <s v="311-13-6971"/>
    <x v="2"/>
    <x v="2"/>
    <x v="0"/>
    <x v="5"/>
    <n v="3199"/>
    <x v="3"/>
    <n v="1599.5"/>
    <n v="33589.5"/>
  </r>
  <r>
    <x v="1"/>
    <s v="460-93-5834"/>
    <x v="0"/>
    <x v="0"/>
    <x v="1"/>
    <x v="5"/>
    <n v="4558"/>
    <x v="0"/>
    <n v="1595.3000000000002"/>
    <n v="33501.300000000003"/>
  </r>
  <r>
    <x v="1"/>
    <s v="325-89-4209"/>
    <x v="0"/>
    <x v="0"/>
    <x v="0"/>
    <x v="3"/>
    <n v="879"/>
    <x v="8"/>
    <n v="43.95"/>
    <n v="922.95"/>
  </r>
  <r>
    <x v="1"/>
    <s v="880-46-5796"/>
    <x v="0"/>
    <x v="0"/>
    <x v="0"/>
    <x v="5"/>
    <n v="7692"/>
    <x v="3"/>
    <n v="3846"/>
    <n v="80766"/>
  </r>
  <r>
    <x v="1"/>
    <s v="715-20-1673"/>
    <x v="2"/>
    <x v="2"/>
    <x v="1"/>
    <x v="1"/>
    <n v="2838"/>
    <x v="1"/>
    <n v="709.5"/>
    <n v="14899.5"/>
  </r>
  <r>
    <x v="1"/>
    <s v="811-35-1094"/>
    <x v="2"/>
    <x v="2"/>
    <x v="0"/>
    <x v="1"/>
    <n v="5045"/>
    <x v="2"/>
    <n v="1513.5"/>
    <n v="31783.5"/>
  </r>
  <r>
    <x v="1"/>
    <s v="699-88-1972"/>
    <x v="2"/>
    <x v="2"/>
    <x v="1"/>
    <x v="0"/>
    <n v="9916"/>
    <x v="7"/>
    <n v="3966.4"/>
    <n v="83294.399999999994"/>
  </r>
  <r>
    <x v="1"/>
    <s v="781-84-8059"/>
    <x v="1"/>
    <x v="1"/>
    <x v="1"/>
    <x v="4"/>
    <n v="6074"/>
    <x v="0"/>
    <n v="2125.9"/>
    <n v="44643.9"/>
  </r>
  <r>
    <x v="1"/>
    <s v="725-54-0677"/>
    <x v="1"/>
    <x v="1"/>
    <x v="0"/>
    <x v="0"/>
    <n v="856"/>
    <x v="0"/>
    <n v="299.60000000000002"/>
    <n v="6291.6"/>
  </r>
  <r>
    <x v="1"/>
    <s v="146-09-5432"/>
    <x v="0"/>
    <x v="0"/>
    <x v="0"/>
    <x v="3"/>
    <n v="3504"/>
    <x v="9"/>
    <n v="1576.8000000000002"/>
    <n v="33112.800000000003"/>
  </r>
  <r>
    <x v="1"/>
    <s v="509-10-0516"/>
    <x v="2"/>
    <x v="2"/>
    <x v="1"/>
    <x v="2"/>
    <n v="4597"/>
    <x v="6"/>
    <n v="919.40000000000009"/>
    <n v="19307.400000000001"/>
  </r>
  <r>
    <x v="1"/>
    <s v="865-41-9075"/>
    <x v="0"/>
    <x v="0"/>
    <x v="1"/>
    <x v="3"/>
    <n v="1153"/>
    <x v="0"/>
    <n v="403.55"/>
    <n v="8474.5499999999993"/>
  </r>
  <r>
    <x v="1"/>
    <s v="450-42-3339"/>
    <x v="1"/>
    <x v="1"/>
    <x v="1"/>
    <x v="0"/>
    <n v="8461"/>
    <x v="3"/>
    <n v="4230.5"/>
    <n v="88840.5"/>
  </r>
  <r>
    <x v="1"/>
    <s v="522-57-8364"/>
    <x v="0"/>
    <x v="0"/>
    <x v="0"/>
    <x v="4"/>
    <n v="5134"/>
    <x v="7"/>
    <n v="2053.6"/>
    <n v="43125.599999999999"/>
  </r>
  <r>
    <x v="1"/>
    <s v="722-13-2115"/>
    <x v="1"/>
    <x v="1"/>
    <x v="0"/>
    <x v="5"/>
    <n v="4285"/>
    <x v="8"/>
    <n v="214.25"/>
    <n v="4499.25"/>
  </r>
  <r>
    <x v="1"/>
    <s v="777-67-2495"/>
    <x v="2"/>
    <x v="2"/>
    <x v="1"/>
    <x v="2"/>
    <n v="6897"/>
    <x v="5"/>
    <n v="1034.55"/>
    <n v="21725.55"/>
  </r>
  <r>
    <x v="1"/>
    <s v="321-49-7382"/>
    <x v="2"/>
    <x v="2"/>
    <x v="0"/>
    <x v="5"/>
    <n v="8831"/>
    <x v="8"/>
    <n v="441.55"/>
    <n v="9272.5499999999993"/>
  </r>
  <r>
    <x v="1"/>
    <s v="825-94-5922"/>
    <x v="2"/>
    <x v="2"/>
    <x v="1"/>
    <x v="5"/>
    <n v="2531"/>
    <x v="4"/>
    <n v="253.10000000000002"/>
    <n v="5315.1"/>
  </r>
  <r>
    <x v="1"/>
    <s v="641-62-7288"/>
    <x v="2"/>
    <x v="2"/>
    <x v="1"/>
    <x v="2"/>
    <n v="9992"/>
    <x v="2"/>
    <n v="2997.6000000000004"/>
    <n v="62949.599999999999"/>
  </r>
  <r>
    <x v="1"/>
    <s v="458-10-8612"/>
    <x v="1"/>
    <x v="1"/>
    <x v="1"/>
    <x v="0"/>
    <n v="6408"/>
    <x v="0"/>
    <n v="2242.8000000000002"/>
    <n v="47098.8"/>
  </r>
  <r>
    <x v="1"/>
    <s v="235-06-8510"/>
    <x v="1"/>
    <x v="1"/>
    <x v="0"/>
    <x v="2"/>
    <n v="8572"/>
    <x v="5"/>
    <n v="1285.8000000000002"/>
    <n v="27001.8"/>
  </r>
  <r>
    <x v="1"/>
    <s v="720-72-2436"/>
    <x v="0"/>
    <x v="0"/>
    <x v="1"/>
    <x v="3"/>
    <n v="6652"/>
    <x v="6"/>
    <n v="1330.4"/>
    <n v="27938.400000000001"/>
  </r>
  <r>
    <x v="1"/>
    <s v="702-83-5291"/>
    <x v="1"/>
    <x v="1"/>
    <x v="0"/>
    <x v="4"/>
    <n v="9982"/>
    <x v="9"/>
    <n v="4491.9000000000005"/>
    <n v="94329.9"/>
  </r>
  <r>
    <x v="1"/>
    <s v="449-16-6770"/>
    <x v="0"/>
    <x v="0"/>
    <x v="1"/>
    <x v="0"/>
    <n v="5079"/>
    <x v="1"/>
    <n v="1269.75"/>
    <n v="26664.75"/>
  </r>
  <r>
    <x v="1"/>
    <s v="333-23-2632"/>
    <x v="0"/>
    <x v="0"/>
    <x v="0"/>
    <x v="0"/>
    <n v="1008"/>
    <x v="0"/>
    <n v="352.8"/>
    <n v="7408.8"/>
  </r>
  <r>
    <x v="1"/>
    <s v="859-97-6048"/>
    <x v="1"/>
    <x v="1"/>
    <x v="0"/>
    <x v="1"/>
    <n v="8425"/>
    <x v="4"/>
    <n v="842.5"/>
    <n v="17692.5"/>
  </r>
  <r>
    <x v="1"/>
    <s v="676-10-2200"/>
    <x v="2"/>
    <x v="2"/>
    <x v="0"/>
    <x v="4"/>
    <n v="5378"/>
    <x v="8"/>
    <n v="268.90000000000003"/>
    <n v="5646.9"/>
  </r>
  <r>
    <x v="1"/>
    <s v="373-88-1424"/>
    <x v="1"/>
    <x v="1"/>
    <x v="0"/>
    <x v="2"/>
    <n v="3581"/>
    <x v="1"/>
    <n v="895.25"/>
    <n v="18800.25"/>
  </r>
  <r>
    <x v="1"/>
    <s v="503-21-4385"/>
    <x v="2"/>
    <x v="2"/>
    <x v="0"/>
    <x v="0"/>
    <n v="3991"/>
    <x v="5"/>
    <n v="598.65"/>
    <n v="12571.65"/>
  </r>
  <r>
    <x v="1"/>
    <s v="200-40-6154"/>
    <x v="2"/>
    <x v="2"/>
    <x v="0"/>
    <x v="2"/>
    <n v="6591"/>
    <x v="2"/>
    <n v="1977.3000000000002"/>
    <n v="41523.300000000003"/>
  </r>
  <r>
    <x v="1"/>
    <s v="577-34-7579"/>
    <x v="1"/>
    <x v="1"/>
    <x v="0"/>
    <x v="3"/>
    <n v="5049"/>
    <x v="9"/>
    <n v="2272.0500000000002"/>
    <n v="47713.05"/>
  </r>
  <r>
    <x v="1"/>
    <s v="430-02-3888"/>
    <x v="2"/>
    <x v="2"/>
    <x v="1"/>
    <x v="1"/>
    <n v="4602"/>
    <x v="2"/>
    <n v="1380.6000000000001"/>
    <n v="28992.6"/>
  </r>
  <r>
    <x v="1"/>
    <s v="256-58-3609"/>
    <x v="1"/>
    <x v="1"/>
    <x v="0"/>
    <x v="4"/>
    <n v="9198"/>
    <x v="8"/>
    <n v="459.90000000000003"/>
    <n v="9657.9"/>
  </r>
  <r>
    <x v="1"/>
    <s v="324-92-3863"/>
    <x v="0"/>
    <x v="0"/>
    <x v="0"/>
    <x v="1"/>
    <n v="2089"/>
    <x v="4"/>
    <n v="208.9"/>
    <n v="4386.8999999999996"/>
  </r>
  <r>
    <x v="1"/>
    <s v="364-34-2972"/>
    <x v="1"/>
    <x v="1"/>
    <x v="0"/>
    <x v="1"/>
    <n v="9682"/>
    <x v="5"/>
    <n v="1452.3000000000002"/>
    <n v="30498.3"/>
  </r>
  <r>
    <x v="1"/>
    <s v="794-42-3736"/>
    <x v="2"/>
    <x v="2"/>
    <x v="1"/>
    <x v="3"/>
    <n v="3333"/>
    <x v="4"/>
    <n v="333.3"/>
    <n v="6999.3"/>
  </r>
  <r>
    <x v="1"/>
    <s v="195-06-0432"/>
    <x v="0"/>
    <x v="0"/>
    <x v="0"/>
    <x v="2"/>
    <n v="8101"/>
    <x v="5"/>
    <n v="1215.1500000000001"/>
    <n v="25518.15"/>
  </r>
  <r>
    <x v="1"/>
    <s v="448-34-8700"/>
    <x v="2"/>
    <x v="2"/>
    <x v="0"/>
    <x v="2"/>
    <n v="3691"/>
    <x v="0"/>
    <n v="1291.8500000000001"/>
    <n v="27128.85"/>
  </r>
  <r>
    <x v="1"/>
    <s v="452-04-8808"/>
    <x v="2"/>
    <x v="2"/>
    <x v="1"/>
    <x v="1"/>
    <n v="8708"/>
    <x v="0"/>
    <n v="3047.8"/>
    <n v="64003.8"/>
  </r>
  <r>
    <x v="1"/>
    <s v="531-56-4728"/>
    <x v="0"/>
    <x v="0"/>
    <x v="1"/>
    <x v="2"/>
    <n v="8008"/>
    <x v="5"/>
    <n v="1201.2"/>
    <n v="25225.200000000001"/>
  </r>
  <r>
    <x v="1"/>
    <s v="744-82-9138"/>
    <x v="1"/>
    <x v="1"/>
    <x v="1"/>
    <x v="4"/>
    <n v="8613"/>
    <x v="4"/>
    <n v="861.30000000000007"/>
    <n v="18087.3"/>
  </r>
  <r>
    <x v="1"/>
    <s v="883-69-1285"/>
    <x v="2"/>
    <x v="2"/>
    <x v="0"/>
    <x v="4"/>
    <n v="4992"/>
    <x v="4"/>
    <n v="499.20000000000005"/>
    <n v="10483.200000000001"/>
  </r>
  <r>
    <x v="1"/>
    <s v="518-71-6847"/>
    <x v="2"/>
    <x v="2"/>
    <x v="0"/>
    <x v="3"/>
    <n v="266"/>
    <x v="2"/>
    <n v="79.800000000000011"/>
    <n v="1675.8"/>
  </r>
  <r>
    <x v="1"/>
    <s v="728-47-9078"/>
    <x v="1"/>
    <x v="1"/>
    <x v="0"/>
    <x v="3"/>
    <n v="5959"/>
    <x v="6"/>
    <n v="1191.8"/>
    <n v="25027.8"/>
  </r>
  <r>
    <x v="1"/>
    <s v="809-46-1866"/>
    <x v="0"/>
    <x v="0"/>
    <x v="1"/>
    <x v="0"/>
    <n v="5815"/>
    <x v="6"/>
    <n v="1163"/>
    <n v="24423"/>
  </r>
  <r>
    <x v="1"/>
    <s v="148-41-7930"/>
    <x v="1"/>
    <x v="1"/>
    <x v="1"/>
    <x v="0"/>
    <n v="9996"/>
    <x v="0"/>
    <n v="3498.6000000000004"/>
    <n v="73470.600000000006"/>
  </r>
  <r>
    <x v="1"/>
    <s v="189-40-5216"/>
    <x v="1"/>
    <x v="1"/>
    <x v="1"/>
    <x v="1"/>
    <n v="9637"/>
    <x v="0"/>
    <n v="3372.9500000000003"/>
    <n v="70831.95"/>
  </r>
  <r>
    <x v="1"/>
    <s v="552-44-5977"/>
    <x v="2"/>
    <x v="2"/>
    <x v="0"/>
    <x v="0"/>
    <n v="62"/>
    <x v="7"/>
    <n v="24.8"/>
    <n v="520.79999999999995"/>
  </r>
  <r>
    <x v="1"/>
    <s v="267-62-7380"/>
    <x v="1"/>
    <x v="1"/>
    <x v="0"/>
    <x v="1"/>
    <n v="8234"/>
    <x v="3"/>
    <n v="4117"/>
    <n v="86457"/>
  </r>
  <r>
    <x v="1"/>
    <s v="430-53-4718"/>
    <x v="2"/>
    <x v="2"/>
    <x v="0"/>
    <x v="0"/>
    <n v="7537"/>
    <x v="7"/>
    <n v="3014.8"/>
    <n v="63310.8"/>
  </r>
  <r>
    <x v="1"/>
    <s v="745-74-0715"/>
    <x v="0"/>
    <x v="0"/>
    <x v="1"/>
    <x v="1"/>
    <n v="5803"/>
    <x v="4"/>
    <n v="580.30000000000007"/>
    <n v="12186.3"/>
  </r>
  <r>
    <x v="1"/>
    <s v="690-01-6631"/>
    <x v="2"/>
    <x v="2"/>
    <x v="1"/>
    <x v="4"/>
    <n v="1749"/>
    <x v="3"/>
    <n v="874.5"/>
    <n v="18364.5"/>
  </r>
  <r>
    <x v="1"/>
    <s v="233-67-5758"/>
    <x v="1"/>
    <x v="1"/>
    <x v="1"/>
    <x v="0"/>
    <n v="4035"/>
    <x v="8"/>
    <n v="201.75"/>
    <n v="4236.75"/>
  </r>
  <r>
    <x v="1"/>
    <s v="727-02-1313"/>
    <x v="0"/>
    <x v="0"/>
    <x v="0"/>
    <x v="3"/>
    <n v="3184"/>
    <x v="8"/>
    <n v="159.20000000000002"/>
    <n v="3343.2"/>
  </r>
  <r>
    <x v="1"/>
    <s v="347-56-2442"/>
    <x v="0"/>
    <x v="0"/>
    <x v="1"/>
    <x v="2"/>
    <n v="6582"/>
    <x v="8"/>
    <n v="329.1"/>
    <n v="691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AF2F64-C286-459D-9685-F6AB2DF9F7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fieldListSortAscending="1">
  <location ref="A50:B54" firstHeaderRow="1" firstDataRow="1" firstDataCol="1"/>
  <pivotFields count="10">
    <pivotField showAll="0">
      <items count="3">
        <item x="0"/>
        <item x="1"/>
        <item t="default"/>
      </items>
    </pivotField>
    <pivotField showAll="0"/>
    <pivotField axis="axisRow" showAll="0" sortType="ascending">
      <items count="4">
        <item x="0"/>
        <item x="2"/>
        <item x="1"/>
        <item t="default"/>
      </items>
    </pivotField>
    <pivotField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7">
        <item x="1"/>
        <item x="4"/>
        <item x="3"/>
        <item x="0"/>
        <item x="2"/>
        <item x="5"/>
        <item t="default"/>
      </items>
    </pivotField>
    <pivotField numFmtId="164" showAll="0"/>
    <pivotField showAll="0"/>
    <pivotField numFmtId="164" showAll="0"/>
    <pivotField dataField="1" numFmtId="164" showAll="0"/>
  </pivotFields>
  <rowFields count="1">
    <field x="2"/>
  </rowFields>
  <rowItems count="4">
    <i>
      <x/>
    </i>
    <i>
      <x v="1"/>
    </i>
    <i>
      <x v="2"/>
    </i>
    <i t="grand">
      <x/>
    </i>
  </rowItems>
  <colItems count="1">
    <i/>
  </colItems>
  <dataFields count="1">
    <dataField name="Sum of Total" fld="9" baseField="3" baseItem="2" numFmtId="164"/>
  </dataFields>
  <chartFormats count="5">
    <chartFormat chart="31" format="5"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0"/>
          </reference>
        </references>
      </pivotArea>
    </chartFormat>
    <chartFormat chart="49" format="6">
      <pivotArea type="data" outline="0" fieldPosition="0">
        <references count="2">
          <reference field="4294967294" count="1" selected="0">
            <x v="0"/>
          </reference>
          <reference field="2" count="1" selected="0">
            <x v="1"/>
          </reference>
        </references>
      </pivotArea>
    </chartFormat>
    <chartFormat chart="49" format="7">
      <pivotArea type="data" outline="0" fieldPosition="0">
        <references count="2">
          <reference field="4294967294" count="1" selected="0">
            <x v="0"/>
          </reference>
          <reference field="2" count="1" selected="0">
            <x v="2"/>
          </reference>
        </references>
      </pivotArea>
    </chartFormat>
    <chartFormat chart="49" format="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D1EFB2-DFD0-4DF7-8A5F-F78C920CC77B}"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B8" firstHeaderRow="1" firstDataRow="1" firstDataCol="1"/>
  <pivotFields count="10">
    <pivotField showAll="0">
      <items count="3">
        <item x="0"/>
        <item x="1"/>
        <item t="default"/>
      </items>
    </pivotField>
    <pivotField showAll="0"/>
    <pivotField showAll="0">
      <items count="4">
        <item x="0"/>
        <item x="2"/>
        <item x="1"/>
        <item t="default"/>
      </items>
    </pivotField>
    <pivotField showAll="0">
      <items count="4">
        <item x="2"/>
        <item x="1"/>
        <item x="0"/>
        <item t="default"/>
      </items>
    </pivotField>
    <pivotField showAll="0"/>
    <pivotField axis="axisRow" showAll="0" sortType="ascending">
      <items count="7">
        <item x="1"/>
        <item x="4"/>
        <item x="3"/>
        <item x="0"/>
        <item x="2"/>
        <item x="5"/>
        <item t="default"/>
      </items>
      <autoSortScope>
        <pivotArea dataOnly="0" outline="0" fieldPosition="0">
          <references count="1">
            <reference field="4294967294" count="1" selected="0">
              <x v="0"/>
            </reference>
          </references>
        </pivotArea>
      </autoSortScope>
    </pivotField>
    <pivotField numFmtId="164" showAll="0"/>
    <pivotField dataField="1" showAll="0"/>
    <pivotField numFmtId="164" showAll="0"/>
    <pivotField numFmtId="164" showAll="0"/>
  </pivotFields>
  <rowFields count="1">
    <field x="5"/>
  </rowFields>
  <rowItems count="6">
    <i>
      <x v="3"/>
    </i>
    <i>
      <x v="1"/>
    </i>
    <i>
      <x v="4"/>
    </i>
    <i>
      <x v="5"/>
    </i>
    <i>
      <x v="2"/>
    </i>
    <i>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C1F21B-7320-4AC6-88C8-4A664D13628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A34" firstHeaderRow="1" firstDataRow="1" firstDataCol="0"/>
  <pivotFields count="10">
    <pivotField showAll="0">
      <items count="3">
        <item x="0"/>
        <item x="1"/>
        <item t="default"/>
      </items>
    </pivotField>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measureFilter="1">
      <items count="7">
        <item x="1"/>
        <item x="4"/>
        <item x="3"/>
        <item x="0"/>
        <item x="2"/>
        <item x="5"/>
        <item t="default"/>
      </items>
    </pivotField>
    <pivotField numFmtId="164" showAll="0"/>
    <pivotField showAll="0"/>
    <pivotField numFmtId="164" showAll="0"/>
    <pivotField dataField="1" numFmtId="164" showAll="0"/>
  </pivotFields>
  <rowItems count="1">
    <i/>
  </rowItems>
  <colItems count="1">
    <i/>
  </colItems>
  <dataFields count="1">
    <dataField name="Sum of Total" fld="9" baseField="0" baseItem="0" numFmtId="164"/>
  </dataFields>
  <pivotTableStyleInfo name="PivotStyleLight16" showRowHeaders="1" showColHeaders="1" showRowStripes="0" showColStripes="0" showLastColumn="1"/>
  <filters count="1">
    <filter fld="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30CAE3-F6AD-4299-864E-D8DD7AA9EA9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2:B44" firstHeaderRow="1" firstDataRow="1" firstDataCol="1"/>
  <pivotFields count="10">
    <pivotField showAll="0">
      <items count="3">
        <item x="0"/>
        <item x="1"/>
        <item t="default"/>
      </items>
    </pivotField>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Row" showAll="0" measureFilter="1">
      <items count="7">
        <item x="1"/>
        <item x="4"/>
        <item x="3"/>
        <item x="0"/>
        <item x="2"/>
        <item x="5"/>
        <item t="default"/>
      </items>
    </pivotField>
    <pivotField numFmtId="164" showAll="0"/>
    <pivotField showAll="0"/>
    <pivotField numFmtId="164" showAll="0"/>
    <pivotField dataField="1" numFmtId="164" showAll="0"/>
  </pivotFields>
  <rowFields count="1">
    <field x="5"/>
  </rowFields>
  <rowItems count="2">
    <i>
      <x/>
    </i>
    <i t="grand">
      <x/>
    </i>
  </rowItems>
  <colItems count="1">
    <i/>
  </colItems>
  <dataFields count="1">
    <dataField name="Sum of Total" fld="9" baseField="0" baseItem="0" numFmtId="164"/>
  </dataFields>
  <pivotTableStyleInfo name="PivotStyleLight16" showRowHeaders="1" showColHeaders="1" showRowStripes="0" showColStripes="0" showLastColumn="1"/>
  <filters count="1">
    <filter fld="5"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C79348-9FB9-4BA2-9B9B-2093A364DA2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fieldListSortAscending="1">
  <location ref="A57:B60" firstHeaderRow="1" firstDataRow="1" firstDataCol="1"/>
  <pivotFields count="10">
    <pivotField showAll="0">
      <items count="3">
        <item x="0"/>
        <item x="1"/>
        <item t="default"/>
      </items>
    </pivotField>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7">
        <item x="1"/>
        <item x="4"/>
        <item x="3"/>
        <item x="0"/>
        <item x="2"/>
        <item x="5"/>
        <item t="default"/>
      </items>
    </pivotField>
    <pivotField numFmtId="164" showAll="0"/>
    <pivotField showAll="0"/>
    <pivotField numFmtId="164" showAll="0"/>
    <pivotField dataField="1" numFmtId="164" showAll="0"/>
  </pivotFields>
  <rowFields count="1">
    <field x="2"/>
  </rowFields>
  <rowItems count="3">
    <i>
      <x/>
    </i>
    <i>
      <x v="1"/>
    </i>
    <i>
      <x v="2"/>
    </i>
  </rowItems>
  <colItems count="1">
    <i/>
  </colItems>
  <dataFields count="1">
    <dataField name="Average of Total" fld="9" subtotal="average" baseField="3" baseItem="0" numFmtId="164"/>
  </dataFields>
  <chartFormats count="12">
    <chartFormat chart="36" format="5" series="1">
      <pivotArea type="data" outline="0" fieldPosition="0">
        <references count="1">
          <reference field="4294967294" count="1" selected="0">
            <x v="0"/>
          </reference>
        </references>
      </pivotArea>
    </chartFormat>
    <chartFormat chart="36" format="6">
      <pivotArea type="data" outline="0" fieldPosition="0">
        <references count="2">
          <reference field="4294967294" count="1" selected="0">
            <x v="0"/>
          </reference>
          <reference field="2" count="1" selected="0">
            <x v="0"/>
          </reference>
        </references>
      </pivotArea>
    </chartFormat>
    <chartFormat chart="36" format="7">
      <pivotArea type="data" outline="0" fieldPosition="0">
        <references count="2">
          <reference field="4294967294" count="1" selected="0">
            <x v="0"/>
          </reference>
          <reference field="2" count="1" selected="0">
            <x v="1"/>
          </reference>
        </references>
      </pivotArea>
    </chartFormat>
    <chartFormat chart="36" format="8">
      <pivotArea type="data" outline="0" fieldPosition="0">
        <references count="2">
          <reference field="4294967294" count="1" selected="0">
            <x v="0"/>
          </reference>
          <reference field="2" count="1" selected="0">
            <x v="2"/>
          </reference>
        </references>
      </pivotArea>
    </chartFormat>
    <chartFormat chart="46" format="9" series="1">
      <pivotArea type="data" outline="0" fieldPosition="0">
        <references count="1">
          <reference field="4294967294" count="1" selected="0">
            <x v="0"/>
          </reference>
        </references>
      </pivotArea>
    </chartFormat>
    <chartFormat chart="46" format="10">
      <pivotArea type="data" outline="0" fieldPosition="0">
        <references count="2">
          <reference field="4294967294" count="1" selected="0">
            <x v="0"/>
          </reference>
          <reference field="2" count="1" selected="0">
            <x v="0"/>
          </reference>
        </references>
      </pivotArea>
    </chartFormat>
    <chartFormat chart="46" format="11">
      <pivotArea type="data" outline="0" fieldPosition="0">
        <references count="2">
          <reference field="4294967294" count="1" selected="0">
            <x v="0"/>
          </reference>
          <reference field="2" count="1" selected="0">
            <x v="1"/>
          </reference>
        </references>
      </pivotArea>
    </chartFormat>
    <chartFormat chart="46" format="12">
      <pivotArea type="data" outline="0" fieldPosition="0">
        <references count="2">
          <reference field="4294967294" count="1" selected="0">
            <x v="0"/>
          </reference>
          <reference field="2" count="1" selected="0">
            <x v="2"/>
          </reference>
        </references>
      </pivotArea>
    </chartFormat>
    <chartFormat chart="47" format="13" series="1">
      <pivotArea type="data" outline="0" fieldPosition="0">
        <references count="1">
          <reference field="4294967294" count="1" selected="0">
            <x v="0"/>
          </reference>
        </references>
      </pivotArea>
    </chartFormat>
    <chartFormat chart="47" format="14">
      <pivotArea type="data" outline="0" fieldPosition="0">
        <references count="2">
          <reference field="4294967294" count="1" selected="0">
            <x v="0"/>
          </reference>
          <reference field="2" count="1" selected="0">
            <x v="0"/>
          </reference>
        </references>
      </pivotArea>
    </chartFormat>
    <chartFormat chart="47" format="15">
      <pivotArea type="data" outline="0" fieldPosition="0">
        <references count="2">
          <reference field="4294967294" count="1" selected="0">
            <x v="0"/>
          </reference>
          <reference field="2" count="1" selected="0">
            <x v="1"/>
          </reference>
        </references>
      </pivotArea>
    </chartFormat>
    <chartFormat chart="47"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23D265-533D-46C8-BAC3-716B35E13E8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9:A40" firstHeaderRow="1" firstDataRow="1" firstDataCol="0"/>
  <pivotFields count="10">
    <pivotField showAll="0">
      <items count="3">
        <item x="0"/>
        <item x="1"/>
        <item t="default"/>
      </items>
    </pivotField>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7">
        <item x="1"/>
        <item x="4"/>
        <item x="3"/>
        <item x="0"/>
        <item x="2"/>
        <item x="5"/>
        <item t="default"/>
      </items>
    </pivotField>
    <pivotField numFmtId="164" showAll="0"/>
    <pivotField showAll="0"/>
    <pivotField dataField="1" numFmtId="164" showAll="0"/>
    <pivotField numFmtId="164" showAll="0"/>
  </pivotFields>
  <rowItems count="1">
    <i/>
  </rowItems>
  <colItems count="1">
    <i/>
  </colItems>
  <dataFields count="1">
    <dataField name="Sum of Tax 5%"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ECCD55-5576-401D-A0FF-7F7C89988FB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25:C29" firstHeaderRow="1" firstDataRow="2" firstDataCol="1"/>
  <pivotFields count="10">
    <pivotField showAll="0">
      <items count="3">
        <item x="0"/>
        <item x="1"/>
        <item t="default"/>
      </items>
    </pivotField>
    <pivotField showAll="0"/>
    <pivotField axis="axisRow" showAll="0">
      <items count="4">
        <item x="0"/>
        <item x="2"/>
        <item x="1"/>
        <item t="default"/>
      </items>
    </pivotField>
    <pivotField showAll="0">
      <items count="4">
        <item x="2"/>
        <item x="1"/>
        <item x="0"/>
        <item t="default"/>
      </items>
    </pivotField>
    <pivotField axis="axisCol" showAll="0" sortType="descending">
      <items count="3">
        <item x="0"/>
        <item n="Non-member" x="1"/>
        <item t="default"/>
      </items>
      <autoSortScope>
        <pivotArea dataOnly="0" outline="0" fieldPosition="0">
          <references count="1">
            <reference field="4294967294" count="1" selected="0">
              <x v="0"/>
            </reference>
          </references>
        </pivotArea>
      </autoSortScope>
    </pivotField>
    <pivotField showAll="0">
      <items count="7">
        <item x="1"/>
        <item x="4"/>
        <item x="3"/>
        <item x="0"/>
        <item x="2"/>
        <item x="5"/>
        <item t="default"/>
      </items>
    </pivotField>
    <pivotField numFmtId="164" showAll="0"/>
    <pivotField showAll="0"/>
    <pivotField numFmtId="164" showAll="0"/>
    <pivotField dataField="1" numFmtId="164" showAll="0"/>
  </pivotFields>
  <rowFields count="1">
    <field x="2"/>
  </rowFields>
  <rowItems count="3">
    <i>
      <x/>
    </i>
    <i>
      <x v="1"/>
    </i>
    <i>
      <x v="2"/>
    </i>
  </rowItems>
  <colFields count="1">
    <field x="4"/>
  </colFields>
  <colItems count="2">
    <i>
      <x v="1"/>
    </i>
    <i>
      <x/>
    </i>
  </colItems>
  <dataFields count="1">
    <dataField name="Average of Total" fld="9" subtotal="average" baseField="2" baseItem="0" numFmtId="164"/>
  </dataFields>
  <chartFormats count="2">
    <chartFormat chart="37" format="4" series="1">
      <pivotArea type="data" outline="0" fieldPosition="0">
        <references count="2">
          <reference field="4294967294" count="1" selected="0">
            <x v="0"/>
          </reference>
          <reference field="4" count="1" selected="0">
            <x v="1"/>
          </reference>
        </references>
      </pivotArea>
    </chartFormat>
    <chartFormat chart="37" format="5"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D68AD4-67D9-493F-A0BC-974084A1236A}"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36:A37" firstHeaderRow="1" firstDataRow="1" firstDataCol="0"/>
  <pivotFields count="10">
    <pivotField showAll="0">
      <items count="3">
        <item x="0"/>
        <item x="1"/>
        <item t="default"/>
      </items>
    </pivotField>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7">
        <item x="1"/>
        <item x="4"/>
        <item x="3"/>
        <item x="0"/>
        <item x="2"/>
        <item x="5"/>
        <item t="default"/>
      </items>
    </pivotField>
    <pivotField numFmtId="164" showAll="0"/>
    <pivotField dataField="1" showAll="0"/>
    <pivotField numFmtId="164" showAll="0"/>
    <pivotField numFmtId="164"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FFAECD-FE50-4DD9-BC01-1E00DFFEBE97}"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6" fieldListSortAscending="1">
  <location ref="A70:D78" firstHeaderRow="1" firstDataRow="2" firstDataCol="1"/>
  <pivotFields count="10">
    <pivotField showAll="0">
      <items count="3">
        <item x="0"/>
        <item x="1"/>
        <item t="default"/>
      </items>
    </pivotField>
    <pivotField showAll="0"/>
    <pivotField axis="axisCol" showAll="0">
      <items count="4">
        <item x="0"/>
        <item x="2"/>
        <item x="1"/>
        <item t="default"/>
      </items>
    </pivotField>
    <pivotField showAll="0">
      <items count="4">
        <item x="2"/>
        <item x="1"/>
        <item x="0"/>
        <item t="default"/>
      </items>
    </pivotField>
    <pivotField showAll="0">
      <items count="3">
        <item x="0"/>
        <item x="1"/>
        <item t="default"/>
      </items>
    </pivotField>
    <pivotField axis="axisRow" showAll="0" sortType="ascending">
      <items count="7">
        <item x="1"/>
        <item x="4"/>
        <item x="3"/>
        <item x="0"/>
        <item x="2"/>
        <item x="5"/>
        <item t="default"/>
      </items>
      <autoSortScope>
        <pivotArea dataOnly="0" outline="0" fieldPosition="0">
          <references count="1">
            <reference field="4294967294" count="1" selected="0">
              <x v="0"/>
            </reference>
          </references>
        </pivotArea>
      </autoSortScope>
    </pivotField>
    <pivotField numFmtId="164" showAll="0"/>
    <pivotField showAll="0"/>
    <pivotField numFmtId="164" showAll="0"/>
    <pivotField dataField="1" numFmtId="164" showAll="0"/>
  </pivotFields>
  <rowFields count="1">
    <field x="5"/>
  </rowFields>
  <rowItems count="7">
    <i>
      <x v="3"/>
    </i>
    <i>
      <x v="2"/>
    </i>
    <i>
      <x v="4"/>
    </i>
    <i>
      <x v="1"/>
    </i>
    <i>
      <x v="5"/>
    </i>
    <i>
      <x/>
    </i>
    <i t="grand">
      <x/>
    </i>
  </rowItems>
  <colFields count="1">
    <field x="2"/>
  </colFields>
  <colItems count="3">
    <i>
      <x/>
    </i>
    <i>
      <x v="1"/>
    </i>
    <i>
      <x v="2"/>
    </i>
  </colItems>
  <dataFields count="1">
    <dataField name="Sum of Total"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BB1598-6E48-401F-9D7F-6D067E7306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15:B22" firstHeaderRow="1" firstDataRow="1" firstDataCol="1"/>
  <pivotFields count="10">
    <pivotField showAll="0">
      <items count="3">
        <item x="0"/>
        <item x="1"/>
        <item t="default"/>
      </items>
    </pivotField>
    <pivotField showAll="0"/>
    <pivotField showAll="0">
      <items count="4">
        <item x="0"/>
        <item x="2"/>
        <item x="1"/>
        <item t="default"/>
      </items>
    </pivotField>
    <pivotField showAll="0">
      <items count="4">
        <item x="2"/>
        <item x="1"/>
        <item x="0"/>
        <item t="default"/>
      </items>
    </pivotField>
    <pivotField showAll="0"/>
    <pivotField axis="axisRow" showAll="0" sortType="ascending">
      <items count="7">
        <item x="1"/>
        <item x="4"/>
        <item x="3"/>
        <item x="0"/>
        <item x="2"/>
        <item x="5"/>
        <item t="default"/>
      </items>
      <autoSortScope>
        <pivotArea dataOnly="0" outline="0" fieldPosition="0">
          <references count="1">
            <reference field="4294967294" count="1" selected="0">
              <x v="0"/>
            </reference>
          </references>
        </pivotArea>
      </autoSortScope>
    </pivotField>
    <pivotField numFmtId="164" showAll="0"/>
    <pivotField showAll="0"/>
    <pivotField numFmtId="164" showAll="0"/>
    <pivotField dataField="1" numFmtId="164" showAll="0"/>
  </pivotFields>
  <rowFields count="1">
    <field x="5"/>
  </rowFields>
  <rowItems count="7">
    <i>
      <x v="3"/>
    </i>
    <i>
      <x v="2"/>
    </i>
    <i>
      <x v="4"/>
    </i>
    <i>
      <x v="1"/>
    </i>
    <i>
      <x v="5"/>
    </i>
    <i>
      <x/>
    </i>
    <i t="grand">
      <x/>
    </i>
  </rowItems>
  <colItems count="1">
    <i/>
  </colItems>
  <dataFields count="1">
    <dataField name="Sum of Total" fld="9" baseField="0" baseItem="0" numFmtId="164"/>
  </dataFields>
  <chartFormats count="12">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5" count="1" selected="0">
            <x v="0"/>
          </reference>
        </references>
      </pivotArea>
    </chartFormat>
    <chartFormat chart="15" format="8">
      <pivotArea type="data" outline="0" fieldPosition="0">
        <references count="2">
          <reference field="4294967294" count="1" selected="0">
            <x v="0"/>
          </reference>
          <reference field="5" count="1" selected="0">
            <x v="5"/>
          </reference>
        </references>
      </pivotArea>
    </chartFormat>
    <chartFormat chart="15" format="8">
      <pivotArea type="data" outline="0" fieldPosition="0">
        <references count="2">
          <reference field="4294967294" count="1" selected="0">
            <x v="0"/>
          </reference>
          <reference field="5" count="1" selected="0">
            <x v="4"/>
          </reference>
        </references>
      </pivotArea>
    </chartFormat>
    <chartFormat chart="15" format="9">
      <pivotArea type="data" outline="0" fieldPosition="0">
        <references count="2">
          <reference field="4294967294" count="1" selected="0">
            <x v="0"/>
          </reference>
          <reference field="5" count="1" selected="0">
            <x v="2"/>
          </reference>
        </references>
      </pivotArea>
    </chartFormat>
    <chartFormat chart="15" format="10">
      <pivotArea type="data" outline="0" fieldPosition="0">
        <references count="2">
          <reference field="4294967294" count="1" selected="0">
            <x v="0"/>
          </reference>
          <reference field="5" count="1" selected="0">
            <x v="3"/>
          </reference>
        </references>
      </pivotArea>
    </chartFormat>
    <chartFormat chart="15" format="11">
      <pivotArea type="data" outline="0" fieldPosition="0">
        <references count="2">
          <reference field="4294967294" count="1" selected="0">
            <x v="0"/>
          </reference>
          <reference field="5" count="1" selected="0">
            <x v="1"/>
          </reference>
        </references>
      </pivotArea>
    </chartFormat>
    <chartFormat chart="15" format="12" series="1">
      <pivotArea type="data" outline="0" fieldPosition="0">
        <references count="2">
          <reference field="4294967294" count="1" selected="0">
            <x v="0"/>
          </reference>
          <reference field="5" count="1" selected="0">
            <x v="2"/>
          </reference>
        </references>
      </pivotArea>
    </chartFormat>
    <chartFormat chart="15" format="13" series="1">
      <pivotArea type="data" outline="0" fieldPosition="0">
        <references count="2">
          <reference field="4294967294" count="1" selected="0">
            <x v="0"/>
          </reference>
          <reference field="5" count="1" selected="0">
            <x v="4"/>
          </reference>
        </references>
      </pivotArea>
    </chartFormat>
    <chartFormat chart="15" format="14" series="1">
      <pivotArea type="data" outline="0" fieldPosition="0">
        <references count="2">
          <reference field="4294967294" count="1" selected="0">
            <x v="0"/>
          </reference>
          <reference field="5" count="1" selected="0">
            <x v="1"/>
          </reference>
        </references>
      </pivotArea>
    </chartFormat>
    <chartFormat chart="15" format="15" series="1">
      <pivotArea type="data" outline="0" fieldPosition="0">
        <references count="2">
          <reference field="4294967294" count="1" selected="0">
            <x v="0"/>
          </reference>
          <reference field="5" count="1" selected="0">
            <x v="5"/>
          </reference>
        </references>
      </pivotArea>
    </chartFormat>
    <chartFormat chart="15" format="16"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BFF2EE-93F3-4BA1-9CE9-C367ED47A8BF}" autoFormatId="16" applyNumberFormats="0" applyBorderFormats="0" applyFontFormats="0" applyPatternFormats="0" applyAlignmentFormats="0" applyWidthHeightFormats="0">
  <queryTableRefresh nextId="15" unboundColumnsRight="1">
    <queryTableFields count="10">
      <queryTableField id="1" name="Gender" tableColumnId="1"/>
      <queryTableField id="2" name="Invoice ID" tableColumnId="2"/>
      <queryTableField id="3" name="Branch" tableColumnId="3"/>
      <queryTableField id="4" name="City" tableColumnId="4"/>
      <queryTableField id="5" name="Customer type" tableColumnId="5"/>
      <queryTableField id="6" name="Product line" tableColumnId="6"/>
      <queryTableField id="7" name="Unit price" tableColumnId="7"/>
      <queryTableField id="8" name="Quantity" tableColumnId="8"/>
      <queryTableField id="9" name="Tax 5%" tableColumnId="9"/>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DEB655C-35D2-4953-BD2D-0A5368805A1C}" sourceName="Gender">
  <pivotTables>
    <pivotTable tabId="3" name="PivotTable2"/>
    <pivotTable tabId="3" name="PivotTable10"/>
    <pivotTable tabId="3" name="PivotTable15"/>
    <pivotTable tabId="3" name="PivotTable16"/>
    <pivotTable tabId="3" name="PivotTable17"/>
    <pivotTable tabId="3" name="PivotTable22"/>
    <pivotTable tabId="3" name="PivotTable11"/>
    <pivotTable tabId="3" name="PivotTable1"/>
    <pivotTable tabId="3" name="PivotTable5"/>
    <pivotTable tabId="3" name="PivotTable3"/>
  </pivotTables>
  <data>
    <tabular pivotCacheId="4721010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23E4645-9239-4945-8D58-8601EBF7635B}" sourceName="City">
  <pivotTables>
    <pivotTable tabId="3" name="PivotTable2"/>
    <pivotTable tabId="3" name="PivotTable10"/>
    <pivotTable tabId="3" name="PivotTable11"/>
    <pivotTable tabId="3" name="PivotTable15"/>
    <pivotTable tabId="3" name="PivotTable16"/>
    <pivotTable tabId="3" name="PivotTable17"/>
    <pivotTable tabId="3" name="PivotTable22"/>
    <pivotTable tabId="3" name="PivotTable5"/>
  </pivotTables>
  <data>
    <tabular pivotCacheId="4721010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7F23B0B-32B8-44BC-81C2-5A583D0C201A}" sourceName="Branch">
  <pivotTables>
    <pivotTable tabId="3" name="PivotTable2"/>
    <pivotTable tabId="3" name="PivotTable17"/>
    <pivotTable tabId="3" name="PivotTable5"/>
    <pivotTable tabId="3" name="PivotTable3"/>
  </pivotTables>
  <data>
    <tabular pivotCacheId="4721010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6CB4481-96FA-4AA8-9285-2A07DFA66FBF}" cache="Slicer_Gender" caption="Gender" columnCount="2" rowHeight="241300"/>
  <slicer name="City" xr10:uid="{7E5EFC9A-8C9A-4130-B091-FDECDEF097D4}" cache="Slicer_City" caption="City" rowHeight="241300"/>
  <slicer name="Branch" xr10:uid="{AC76C6BE-B01C-42CA-9A82-2E932CE291BC}" cache="Slicer_Branch" caption="Branch" columnCoun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0CABC4-7FDE-4014-9AC6-788F7A4645FE}" name="supermarket_sales_new" displayName="supermarket_sales_new" ref="A1:J1001" tableType="queryTable" totalsRowShown="0">
  <autoFilter ref="A1:J1001" xr:uid="{890CABC4-7FDE-4014-9AC6-788F7A4645FE}"/>
  <tableColumns count="10">
    <tableColumn id="1" xr3:uid="{7D5C3BC4-9B6E-4779-A557-B713D45EB510}" uniqueName="1" name="Gender" queryTableFieldId="1" dataDxfId="8"/>
    <tableColumn id="2" xr3:uid="{D5AA9357-1645-4128-AD51-754A19C0D3B3}" uniqueName="2" name="Invoice ID" queryTableFieldId="2" dataDxfId="7"/>
    <tableColumn id="3" xr3:uid="{79C416C6-2503-4454-8D6C-6D273EE70765}" uniqueName="3" name="Branch" queryTableFieldId="3" dataDxfId="6"/>
    <tableColumn id="4" xr3:uid="{3ED9FCAF-6719-4270-8DFA-118914E6F03F}" uniqueName="4" name="City" queryTableFieldId="4" dataDxfId="5"/>
    <tableColumn id="5" xr3:uid="{DC785D80-BC27-4970-87C0-91D31C03CD29}" uniqueName="5" name="Customer type" queryTableFieldId="5" dataDxfId="4"/>
    <tableColumn id="6" xr3:uid="{C45FCD8D-BBC2-4437-A5DC-E4E63E0C7632}" uniqueName="6" name="Product line" queryTableFieldId="6" dataDxfId="3"/>
    <tableColumn id="7" xr3:uid="{DAE4043B-D42F-43A1-A9E8-CE3CC5D09653}" uniqueName="7" name="Unit price" queryTableFieldId="7" dataDxfId="2"/>
    <tableColumn id="8" xr3:uid="{55E0251C-D4A1-490F-9CA2-4A386D4988FB}" uniqueName="8" name="Quantity" queryTableFieldId="8"/>
    <tableColumn id="9" xr3:uid="{BBA6063E-BBB2-4ABA-8D90-728BCE40EF94}" uniqueName="9" name="Tax 5%" queryTableFieldId="9" dataDxfId="1"/>
    <tableColumn id="11" xr3:uid="{906BB9AD-99DD-4468-8ECE-E33DF5D23EEE}" uniqueName="11" name="Sales" queryTableFieldId="11" dataDxfId="0">
      <calculatedColumnFormula>(supermarket_sales_new[[#This Row],[Unit price]]*supermarket_sales_new[[#This Row],[Quantity]])+supermarket_sales_new[[#This Row],[Tax 5%]]</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16C80-A377-4A3D-989E-A3AA0ACC9463}">
  <dimension ref="A3:B3"/>
  <sheetViews>
    <sheetView workbookViewId="0">
      <selection activeCell="B4" sqref="B4"/>
    </sheetView>
  </sheetViews>
  <sheetFormatPr defaultRowHeight="15.5" x14ac:dyDescent="0.35"/>
  <cols>
    <col min="1" max="1" width="16.765625" customWidth="1"/>
    <col min="2" max="2" width="10.921875" bestFit="1" customWidth="1"/>
  </cols>
  <sheetData>
    <row r="3" spans="1:2" x14ac:dyDescent="0.35">
      <c r="A3" t="s">
        <v>1034</v>
      </c>
      <c r="B3" s="1" t="e">
        <f>SUM(#REF!)</f>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9558-FDA2-4894-AF9D-7DBE594671EF}">
  <dimension ref="A1:J1001"/>
  <sheetViews>
    <sheetView zoomScale="93" workbookViewId="0">
      <selection activeCell="B1" sqref="B1"/>
    </sheetView>
  </sheetViews>
  <sheetFormatPr defaultRowHeight="15.5" x14ac:dyDescent="0.35"/>
  <cols>
    <col min="1" max="1" width="9.3828125" bestFit="1" customWidth="1"/>
    <col min="2" max="2" width="11.53515625" bestFit="1" customWidth="1"/>
    <col min="3" max="3" width="9.3828125" bestFit="1" customWidth="1"/>
    <col min="4" max="4" width="9.3046875" bestFit="1" customWidth="1"/>
    <col min="5" max="5" width="15.69140625" bestFit="1" customWidth="1"/>
    <col min="6" max="6" width="19.3828125" bestFit="1" customWidth="1"/>
    <col min="7" max="7" width="11.4609375" style="1" bestFit="1" customWidth="1"/>
    <col min="8" max="8" width="10.3828125" bestFit="1" customWidth="1"/>
    <col min="9" max="9" width="8.921875" style="1" bestFit="1" customWidth="1"/>
    <col min="10" max="10" width="8.53515625" style="1" bestFit="1" customWidth="1"/>
  </cols>
  <sheetData>
    <row r="1" spans="1:10" x14ac:dyDescent="0.35">
      <c r="A1" t="s">
        <v>0</v>
      </c>
      <c r="B1" t="s">
        <v>1</v>
      </c>
      <c r="C1" t="s">
        <v>2</v>
      </c>
      <c r="D1" t="s">
        <v>3</v>
      </c>
      <c r="E1" t="s">
        <v>4</v>
      </c>
      <c r="F1" t="s">
        <v>5</v>
      </c>
      <c r="G1" t="s">
        <v>6</v>
      </c>
      <c r="H1" t="s">
        <v>7</v>
      </c>
      <c r="I1" t="s">
        <v>8</v>
      </c>
      <c r="J1" t="s">
        <v>1031</v>
      </c>
    </row>
    <row r="2" spans="1:10" x14ac:dyDescent="0.35">
      <c r="A2" t="s">
        <v>9</v>
      </c>
      <c r="B2" t="s">
        <v>10</v>
      </c>
      <c r="C2" t="s">
        <v>11</v>
      </c>
      <c r="D2" t="s">
        <v>12</v>
      </c>
      <c r="E2" t="s">
        <v>13</v>
      </c>
      <c r="F2" t="s">
        <v>14</v>
      </c>
      <c r="G2" s="1">
        <v>7469</v>
      </c>
      <c r="H2">
        <v>7</v>
      </c>
      <c r="I2" s="1">
        <f>supermarket_sales_new[[#This Row],[Unit price]]*supermarket_sales_new[[#This Row],[Quantity]]*5%</f>
        <v>2614.15</v>
      </c>
      <c r="J2" s="1">
        <f>(supermarket_sales_new[[#This Row],[Unit price]]*supermarket_sales_new[[#This Row],[Quantity]])+supermarket_sales_new[[#This Row],[Tax 5%]]</f>
        <v>54897.15</v>
      </c>
    </row>
    <row r="3" spans="1:10" x14ac:dyDescent="0.35">
      <c r="A3" t="s">
        <v>9</v>
      </c>
      <c r="B3" t="s">
        <v>15</v>
      </c>
      <c r="C3" t="s">
        <v>16</v>
      </c>
      <c r="D3" t="s">
        <v>17</v>
      </c>
      <c r="E3" t="s">
        <v>18</v>
      </c>
      <c r="F3" t="s">
        <v>19</v>
      </c>
      <c r="G3" s="1">
        <v>1528</v>
      </c>
      <c r="H3">
        <v>5</v>
      </c>
      <c r="I3" s="1">
        <f>supermarket_sales_new[[#This Row],[Unit price]]*supermarket_sales_new[[#This Row],[Quantity]]*5%</f>
        <v>382</v>
      </c>
      <c r="J3" s="1">
        <f>(supermarket_sales_new[[#This Row],[Unit price]]*supermarket_sales_new[[#This Row],[Quantity]])+supermarket_sales_new[[#This Row],[Tax 5%]]</f>
        <v>8022</v>
      </c>
    </row>
    <row r="4" spans="1:10" x14ac:dyDescent="0.35">
      <c r="A4" t="s">
        <v>9</v>
      </c>
      <c r="B4" t="s">
        <v>20</v>
      </c>
      <c r="C4" t="s">
        <v>11</v>
      </c>
      <c r="D4" t="s">
        <v>12</v>
      </c>
      <c r="E4" t="s">
        <v>13</v>
      </c>
      <c r="F4" t="s">
        <v>19</v>
      </c>
      <c r="G4" s="1">
        <v>6884</v>
      </c>
      <c r="H4">
        <v>6</v>
      </c>
      <c r="I4" s="1">
        <f>supermarket_sales_new[[#This Row],[Unit price]]*supermarket_sales_new[[#This Row],[Quantity]]*5%</f>
        <v>2065.2000000000003</v>
      </c>
      <c r="J4" s="1">
        <f>(supermarket_sales_new[[#This Row],[Unit price]]*supermarket_sales_new[[#This Row],[Quantity]])+supermarket_sales_new[[#This Row],[Tax 5%]]</f>
        <v>43369.2</v>
      </c>
    </row>
    <row r="5" spans="1:10" x14ac:dyDescent="0.35">
      <c r="A5" t="s">
        <v>9</v>
      </c>
      <c r="B5" t="s">
        <v>21</v>
      </c>
      <c r="C5" t="s">
        <v>16</v>
      </c>
      <c r="D5" t="s">
        <v>17</v>
      </c>
      <c r="E5" t="s">
        <v>18</v>
      </c>
      <c r="F5" t="s">
        <v>22</v>
      </c>
      <c r="G5" s="1">
        <v>7356</v>
      </c>
      <c r="H5">
        <v>10</v>
      </c>
      <c r="I5" s="1">
        <f>supermarket_sales_new[[#This Row],[Unit price]]*supermarket_sales_new[[#This Row],[Quantity]]*5%</f>
        <v>3678</v>
      </c>
      <c r="J5" s="1">
        <f>(supermarket_sales_new[[#This Row],[Unit price]]*supermarket_sales_new[[#This Row],[Quantity]])+supermarket_sales_new[[#This Row],[Tax 5%]]</f>
        <v>77238</v>
      </c>
    </row>
    <row r="6" spans="1:10" x14ac:dyDescent="0.35">
      <c r="A6" t="s">
        <v>9</v>
      </c>
      <c r="B6" t="s">
        <v>23</v>
      </c>
      <c r="C6" t="s">
        <v>11</v>
      </c>
      <c r="D6" t="s">
        <v>12</v>
      </c>
      <c r="E6" t="s">
        <v>13</v>
      </c>
      <c r="F6" t="s">
        <v>14</v>
      </c>
      <c r="G6" s="1">
        <v>3626</v>
      </c>
      <c r="H6">
        <v>2</v>
      </c>
      <c r="I6" s="1">
        <f>supermarket_sales_new[[#This Row],[Unit price]]*supermarket_sales_new[[#This Row],[Quantity]]*5%</f>
        <v>362.6</v>
      </c>
      <c r="J6" s="1">
        <f>(supermarket_sales_new[[#This Row],[Unit price]]*supermarket_sales_new[[#This Row],[Quantity]])+supermarket_sales_new[[#This Row],[Tax 5%]]</f>
        <v>7614.6</v>
      </c>
    </row>
    <row r="7" spans="1:10" x14ac:dyDescent="0.35">
      <c r="A7" t="s">
        <v>9</v>
      </c>
      <c r="B7" t="s">
        <v>24</v>
      </c>
      <c r="C7" t="s">
        <v>25</v>
      </c>
      <c r="D7" t="s">
        <v>26</v>
      </c>
      <c r="E7" t="s">
        <v>13</v>
      </c>
      <c r="F7" t="s">
        <v>27</v>
      </c>
      <c r="G7" s="1">
        <v>5484</v>
      </c>
      <c r="H7">
        <v>3</v>
      </c>
      <c r="I7" s="1">
        <f>supermarket_sales_new[[#This Row],[Unit price]]*supermarket_sales_new[[#This Row],[Quantity]]*5%</f>
        <v>822.6</v>
      </c>
      <c r="J7" s="1">
        <f>(supermarket_sales_new[[#This Row],[Unit price]]*supermarket_sales_new[[#This Row],[Quantity]])+supermarket_sales_new[[#This Row],[Tax 5%]]</f>
        <v>17274.599999999999</v>
      </c>
    </row>
    <row r="8" spans="1:10" x14ac:dyDescent="0.35">
      <c r="A8" t="s">
        <v>9</v>
      </c>
      <c r="B8" t="s">
        <v>28</v>
      </c>
      <c r="C8" t="s">
        <v>25</v>
      </c>
      <c r="D8" t="s">
        <v>26</v>
      </c>
      <c r="E8" t="s">
        <v>13</v>
      </c>
      <c r="F8" t="s">
        <v>29</v>
      </c>
      <c r="G8" s="1">
        <v>1448</v>
      </c>
      <c r="H8">
        <v>4</v>
      </c>
      <c r="I8" s="1">
        <f>supermarket_sales_new[[#This Row],[Unit price]]*supermarket_sales_new[[#This Row],[Quantity]]*5%</f>
        <v>289.60000000000002</v>
      </c>
      <c r="J8" s="1">
        <f>(supermarket_sales_new[[#This Row],[Unit price]]*supermarket_sales_new[[#This Row],[Quantity]])+supermarket_sales_new[[#This Row],[Tax 5%]]</f>
        <v>6081.6</v>
      </c>
    </row>
    <row r="9" spans="1:10" x14ac:dyDescent="0.35">
      <c r="A9" t="s">
        <v>9</v>
      </c>
      <c r="B9" t="s">
        <v>30</v>
      </c>
      <c r="C9" t="s">
        <v>11</v>
      </c>
      <c r="D9" t="s">
        <v>12</v>
      </c>
      <c r="E9" t="s">
        <v>18</v>
      </c>
      <c r="F9" t="s">
        <v>19</v>
      </c>
      <c r="G9" s="1">
        <v>4695</v>
      </c>
      <c r="H9">
        <v>5</v>
      </c>
      <c r="I9" s="1">
        <f>supermarket_sales_new[[#This Row],[Unit price]]*supermarket_sales_new[[#This Row],[Quantity]]*5%</f>
        <v>1173.75</v>
      </c>
      <c r="J9" s="1">
        <f>(supermarket_sales_new[[#This Row],[Unit price]]*supermarket_sales_new[[#This Row],[Quantity]])+supermarket_sales_new[[#This Row],[Tax 5%]]</f>
        <v>24648.75</v>
      </c>
    </row>
    <row r="10" spans="1:10" x14ac:dyDescent="0.35">
      <c r="A10" t="s">
        <v>9</v>
      </c>
      <c r="B10" t="s">
        <v>31</v>
      </c>
      <c r="C10" t="s">
        <v>11</v>
      </c>
      <c r="D10" t="s">
        <v>12</v>
      </c>
      <c r="E10" t="s">
        <v>18</v>
      </c>
      <c r="F10" t="s">
        <v>14</v>
      </c>
      <c r="G10" s="1">
        <v>7138</v>
      </c>
      <c r="H10">
        <v>10</v>
      </c>
      <c r="I10" s="1">
        <f>supermarket_sales_new[[#This Row],[Unit price]]*supermarket_sales_new[[#This Row],[Quantity]]*5%</f>
        <v>3569</v>
      </c>
      <c r="J10" s="1">
        <f>(supermarket_sales_new[[#This Row],[Unit price]]*supermarket_sales_new[[#This Row],[Quantity]])+supermarket_sales_new[[#This Row],[Tax 5%]]</f>
        <v>74949</v>
      </c>
    </row>
    <row r="11" spans="1:10" x14ac:dyDescent="0.35">
      <c r="A11" t="s">
        <v>9</v>
      </c>
      <c r="B11" t="s">
        <v>32</v>
      </c>
      <c r="C11" t="s">
        <v>25</v>
      </c>
      <c r="D11" t="s">
        <v>26</v>
      </c>
      <c r="E11" t="s">
        <v>13</v>
      </c>
      <c r="F11" t="s">
        <v>33</v>
      </c>
      <c r="G11" s="1">
        <v>9372</v>
      </c>
      <c r="H11">
        <v>6</v>
      </c>
      <c r="I11" s="1">
        <f>supermarket_sales_new[[#This Row],[Unit price]]*supermarket_sales_new[[#This Row],[Quantity]]*5%</f>
        <v>2811.6000000000004</v>
      </c>
      <c r="J11" s="1">
        <f>(supermarket_sales_new[[#This Row],[Unit price]]*supermarket_sales_new[[#This Row],[Quantity]])+supermarket_sales_new[[#This Row],[Tax 5%]]</f>
        <v>59043.6</v>
      </c>
    </row>
    <row r="12" spans="1:10" x14ac:dyDescent="0.35">
      <c r="A12" t="s">
        <v>9</v>
      </c>
      <c r="B12" t="s">
        <v>34</v>
      </c>
      <c r="C12" t="s">
        <v>11</v>
      </c>
      <c r="D12" t="s">
        <v>12</v>
      </c>
      <c r="E12" t="s">
        <v>13</v>
      </c>
      <c r="F12" t="s">
        <v>14</v>
      </c>
      <c r="G12" s="1">
        <v>6893</v>
      </c>
      <c r="H12">
        <v>7</v>
      </c>
      <c r="I12" s="1">
        <f>supermarket_sales_new[[#This Row],[Unit price]]*supermarket_sales_new[[#This Row],[Quantity]]*5%</f>
        <v>2412.5500000000002</v>
      </c>
      <c r="J12" s="1">
        <f>(supermarket_sales_new[[#This Row],[Unit price]]*supermarket_sales_new[[#This Row],[Quantity]])+supermarket_sales_new[[#This Row],[Tax 5%]]</f>
        <v>50663.55</v>
      </c>
    </row>
    <row r="13" spans="1:10" x14ac:dyDescent="0.35">
      <c r="A13" t="s">
        <v>9</v>
      </c>
      <c r="B13" t="s">
        <v>35</v>
      </c>
      <c r="C13" t="s">
        <v>25</v>
      </c>
      <c r="D13" t="s">
        <v>26</v>
      </c>
      <c r="E13" t="s">
        <v>18</v>
      </c>
      <c r="F13" t="s">
        <v>22</v>
      </c>
      <c r="G13" s="1">
        <v>403</v>
      </c>
      <c r="H13">
        <v>2</v>
      </c>
      <c r="I13" s="1">
        <f>supermarket_sales_new[[#This Row],[Unit price]]*supermarket_sales_new[[#This Row],[Quantity]]*5%</f>
        <v>40.300000000000004</v>
      </c>
      <c r="J13" s="1">
        <f>(supermarket_sales_new[[#This Row],[Unit price]]*supermarket_sales_new[[#This Row],[Quantity]])+supermarket_sales_new[[#This Row],[Tax 5%]]</f>
        <v>846.3</v>
      </c>
    </row>
    <row r="14" spans="1:10" x14ac:dyDescent="0.35">
      <c r="A14" t="s">
        <v>9</v>
      </c>
      <c r="B14" t="s">
        <v>36</v>
      </c>
      <c r="C14" t="s">
        <v>11</v>
      </c>
      <c r="D14" t="s">
        <v>12</v>
      </c>
      <c r="E14" t="s">
        <v>13</v>
      </c>
      <c r="F14" t="s">
        <v>22</v>
      </c>
      <c r="G14" s="1">
        <v>5259</v>
      </c>
      <c r="H14">
        <v>8</v>
      </c>
      <c r="I14" s="1">
        <f>supermarket_sales_new[[#This Row],[Unit price]]*supermarket_sales_new[[#This Row],[Quantity]]*5%</f>
        <v>2103.6</v>
      </c>
      <c r="J14" s="1">
        <f>(supermarket_sales_new[[#This Row],[Unit price]]*supermarket_sales_new[[#This Row],[Quantity]])+supermarket_sales_new[[#This Row],[Tax 5%]]</f>
        <v>44175.6</v>
      </c>
    </row>
    <row r="15" spans="1:10" x14ac:dyDescent="0.35">
      <c r="A15" t="s">
        <v>9</v>
      </c>
      <c r="B15" t="s">
        <v>37</v>
      </c>
      <c r="C15" t="s">
        <v>11</v>
      </c>
      <c r="D15" t="s">
        <v>12</v>
      </c>
      <c r="E15" t="s">
        <v>18</v>
      </c>
      <c r="F15" t="s">
        <v>29</v>
      </c>
      <c r="G15" s="1">
        <v>8767</v>
      </c>
      <c r="H15">
        <v>2</v>
      </c>
      <c r="I15" s="1">
        <f>supermarket_sales_new[[#This Row],[Unit price]]*supermarket_sales_new[[#This Row],[Quantity]]*5%</f>
        <v>876.7</v>
      </c>
      <c r="J15" s="1">
        <f>(supermarket_sales_new[[#This Row],[Unit price]]*supermarket_sales_new[[#This Row],[Quantity]])+supermarket_sales_new[[#This Row],[Tax 5%]]</f>
        <v>18410.7</v>
      </c>
    </row>
    <row r="16" spans="1:10" x14ac:dyDescent="0.35">
      <c r="A16" t="s">
        <v>9</v>
      </c>
      <c r="B16" t="s">
        <v>38</v>
      </c>
      <c r="C16" t="s">
        <v>25</v>
      </c>
      <c r="D16" t="s">
        <v>26</v>
      </c>
      <c r="E16" t="s">
        <v>18</v>
      </c>
      <c r="F16" t="s">
        <v>27</v>
      </c>
      <c r="G16" s="1">
        <v>8836</v>
      </c>
      <c r="H16">
        <v>5</v>
      </c>
      <c r="I16" s="1">
        <f>supermarket_sales_new[[#This Row],[Unit price]]*supermarket_sales_new[[#This Row],[Quantity]]*5%</f>
        <v>2209</v>
      </c>
      <c r="J16" s="1">
        <f>(supermarket_sales_new[[#This Row],[Unit price]]*supermarket_sales_new[[#This Row],[Quantity]])+supermarket_sales_new[[#This Row],[Tax 5%]]</f>
        <v>46389</v>
      </c>
    </row>
    <row r="17" spans="1:10" x14ac:dyDescent="0.35">
      <c r="A17" t="s">
        <v>9</v>
      </c>
      <c r="B17" t="s">
        <v>39</v>
      </c>
      <c r="C17" t="s">
        <v>16</v>
      </c>
      <c r="D17" t="s">
        <v>17</v>
      </c>
      <c r="E17" t="s">
        <v>13</v>
      </c>
      <c r="F17" t="s">
        <v>27</v>
      </c>
      <c r="G17" s="1">
        <v>9942</v>
      </c>
      <c r="H17">
        <v>4</v>
      </c>
      <c r="I17" s="1">
        <f>supermarket_sales_new[[#This Row],[Unit price]]*supermarket_sales_new[[#This Row],[Quantity]]*5%</f>
        <v>1988.4</v>
      </c>
      <c r="J17" s="1">
        <f>(supermarket_sales_new[[#This Row],[Unit price]]*supermarket_sales_new[[#This Row],[Quantity]])+supermarket_sales_new[[#This Row],[Tax 5%]]</f>
        <v>41756.400000000001</v>
      </c>
    </row>
    <row r="18" spans="1:10" x14ac:dyDescent="0.35">
      <c r="A18" t="s">
        <v>9</v>
      </c>
      <c r="B18" t="s">
        <v>40</v>
      </c>
      <c r="C18" t="s">
        <v>16</v>
      </c>
      <c r="D18" t="s">
        <v>17</v>
      </c>
      <c r="E18" t="s">
        <v>13</v>
      </c>
      <c r="F18" t="s">
        <v>33</v>
      </c>
      <c r="G18" s="1">
        <v>6812</v>
      </c>
      <c r="H18">
        <v>1</v>
      </c>
      <c r="I18" s="1">
        <f>supermarket_sales_new[[#This Row],[Unit price]]*supermarket_sales_new[[#This Row],[Quantity]]*5%</f>
        <v>340.6</v>
      </c>
      <c r="J18" s="1">
        <f>(supermarket_sales_new[[#This Row],[Unit price]]*supermarket_sales_new[[#This Row],[Quantity]])+supermarket_sales_new[[#This Row],[Tax 5%]]</f>
        <v>7152.6</v>
      </c>
    </row>
    <row r="19" spans="1:10" x14ac:dyDescent="0.35">
      <c r="A19" t="s">
        <v>9</v>
      </c>
      <c r="B19" t="s">
        <v>41</v>
      </c>
      <c r="C19" t="s">
        <v>11</v>
      </c>
      <c r="D19" t="s">
        <v>12</v>
      </c>
      <c r="E19" t="s">
        <v>18</v>
      </c>
      <c r="F19" t="s">
        <v>19</v>
      </c>
      <c r="G19" s="1">
        <v>6088</v>
      </c>
      <c r="H19">
        <v>9</v>
      </c>
      <c r="I19" s="1">
        <f>supermarket_sales_new[[#This Row],[Unit price]]*supermarket_sales_new[[#This Row],[Quantity]]*5%</f>
        <v>2739.6000000000004</v>
      </c>
      <c r="J19" s="1">
        <f>(supermarket_sales_new[[#This Row],[Unit price]]*supermarket_sales_new[[#This Row],[Quantity]])+supermarket_sales_new[[#This Row],[Tax 5%]]</f>
        <v>57531.6</v>
      </c>
    </row>
    <row r="20" spans="1:10" x14ac:dyDescent="0.35">
      <c r="A20" t="s">
        <v>9</v>
      </c>
      <c r="B20" t="s">
        <v>42</v>
      </c>
      <c r="C20" t="s">
        <v>16</v>
      </c>
      <c r="D20" t="s">
        <v>17</v>
      </c>
      <c r="E20" t="s">
        <v>18</v>
      </c>
      <c r="F20" t="s">
        <v>14</v>
      </c>
      <c r="G20" s="1">
        <v>5492</v>
      </c>
      <c r="H20">
        <v>8</v>
      </c>
      <c r="I20" s="1">
        <f>supermarket_sales_new[[#This Row],[Unit price]]*supermarket_sales_new[[#This Row],[Quantity]]*5%</f>
        <v>2196.8000000000002</v>
      </c>
      <c r="J20" s="1">
        <f>(supermarket_sales_new[[#This Row],[Unit price]]*supermarket_sales_new[[#This Row],[Quantity]])+supermarket_sales_new[[#This Row],[Tax 5%]]</f>
        <v>46132.800000000003</v>
      </c>
    </row>
    <row r="21" spans="1:10" x14ac:dyDescent="0.35">
      <c r="A21" t="s">
        <v>9</v>
      </c>
      <c r="B21" t="s">
        <v>43</v>
      </c>
      <c r="C21" t="s">
        <v>25</v>
      </c>
      <c r="D21" t="s">
        <v>26</v>
      </c>
      <c r="E21" t="s">
        <v>13</v>
      </c>
      <c r="F21" t="s">
        <v>22</v>
      </c>
      <c r="G21" s="1">
        <v>8672</v>
      </c>
      <c r="H21">
        <v>1</v>
      </c>
      <c r="I21" s="1">
        <f>supermarket_sales_new[[#This Row],[Unit price]]*supermarket_sales_new[[#This Row],[Quantity]]*5%</f>
        <v>433.6</v>
      </c>
      <c r="J21" s="1">
        <f>(supermarket_sales_new[[#This Row],[Unit price]]*supermarket_sales_new[[#This Row],[Quantity]])+supermarket_sales_new[[#This Row],[Tax 5%]]</f>
        <v>9105.6</v>
      </c>
    </row>
    <row r="22" spans="1:10" x14ac:dyDescent="0.35">
      <c r="A22" t="s">
        <v>9</v>
      </c>
      <c r="B22" t="s">
        <v>44</v>
      </c>
      <c r="C22" t="s">
        <v>25</v>
      </c>
      <c r="D22" t="s">
        <v>26</v>
      </c>
      <c r="E22" t="s">
        <v>13</v>
      </c>
      <c r="F22" t="s">
        <v>33</v>
      </c>
      <c r="G22" s="1">
        <v>6912</v>
      </c>
      <c r="H22">
        <v>6</v>
      </c>
      <c r="I22" s="1">
        <f>supermarket_sales_new[[#This Row],[Unit price]]*supermarket_sales_new[[#This Row],[Quantity]]*5%</f>
        <v>2073.6</v>
      </c>
      <c r="J22" s="1">
        <f>(supermarket_sales_new[[#This Row],[Unit price]]*supermarket_sales_new[[#This Row],[Quantity]])+supermarket_sales_new[[#This Row],[Tax 5%]]</f>
        <v>43545.599999999999</v>
      </c>
    </row>
    <row r="23" spans="1:10" x14ac:dyDescent="0.35">
      <c r="A23" t="s">
        <v>9</v>
      </c>
      <c r="B23" t="s">
        <v>45</v>
      </c>
      <c r="C23" t="s">
        <v>16</v>
      </c>
      <c r="D23" t="s">
        <v>17</v>
      </c>
      <c r="E23" t="s">
        <v>13</v>
      </c>
      <c r="F23" t="s">
        <v>27</v>
      </c>
      <c r="G23" s="1">
        <v>987</v>
      </c>
      <c r="H23">
        <v>8</v>
      </c>
      <c r="I23" s="1">
        <f>supermarket_sales_new[[#This Row],[Unit price]]*supermarket_sales_new[[#This Row],[Quantity]]*5%</f>
        <v>394.8</v>
      </c>
      <c r="J23" s="1">
        <f>(supermarket_sales_new[[#This Row],[Unit price]]*supermarket_sales_new[[#This Row],[Quantity]])+supermarket_sales_new[[#This Row],[Tax 5%]]</f>
        <v>8290.7999999999993</v>
      </c>
    </row>
    <row r="24" spans="1:10" x14ac:dyDescent="0.35">
      <c r="A24" t="s">
        <v>9</v>
      </c>
      <c r="B24" t="s">
        <v>46</v>
      </c>
      <c r="C24" t="s">
        <v>25</v>
      </c>
      <c r="D24" t="s">
        <v>26</v>
      </c>
      <c r="E24" t="s">
        <v>13</v>
      </c>
      <c r="F24" t="s">
        <v>19</v>
      </c>
      <c r="G24" s="1">
        <v>9396</v>
      </c>
      <c r="H24">
        <v>4</v>
      </c>
      <c r="I24" s="1">
        <f>supermarket_sales_new[[#This Row],[Unit price]]*supermarket_sales_new[[#This Row],[Quantity]]*5%</f>
        <v>1879.2</v>
      </c>
      <c r="J24" s="1">
        <f>(supermarket_sales_new[[#This Row],[Unit price]]*supermarket_sales_new[[#This Row],[Quantity]])+supermarket_sales_new[[#This Row],[Tax 5%]]</f>
        <v>39463.199999999997</v>
      </c>
    </row>
    <row r="25" spans="1:10" x14ac:dyDescent="0.35">
      <c r="A25" t="s">
        <v>9</v>
      </c>
      <c r="B25" t="s">
        <v>47</v>
      </c>
      <c r="C25" t="s">
        <v>25</v>
      </c>
      <c r="D25" t="s">
        <v>26</v>
      </c>
      <c r="E25" t="s">
        <v>13</v>
      </c>
      <c r="F25" t="s">
        <v>27</v>
      </c>
      <c r="G25" s="1">
        <v>2001</v>
      </c>
      <c r="H25">
        <v>9</v>
      </c>
      <c r="I25" s="1">
        <f>supermarket_sales_new[[#This Row],[Unit price]]*supermarket_sales_new[[#This Row],[Quantity]]*5%</f>
        <v>900.45</v>
      </c>
      <c r="J25" s="1">
        <f>(supermarket_sales_new[[#This Row],[Unit price]]*supermarket_sales_new[[#This Row],[Quantity]])+supermarket_sales_new[[#This Row],[Tax 5%]]</f>
        <v>18909.45</v>
      </c>
    </row>
    <row r="26" spans="1:10" x14ac:dyDescent="0.35">
      <c r="A26" t="s">
        <v>9</v>
      </c>
      <c r="B26" t="s">
        <v>48</v>
      </c>
      <c r="C26" t="s">
        <v>16</v>
      </c>
      <c r="D26" t="s">
        <v>17</v>
      </c>
      <c r="E26" t="s">
        <v>13</v>
      </c>
      <c r="F26" t="s">
        <v>29</v>
      </c>
      <c r="G26" s="1">
        <v>8263</v>
      </c>
      <c r="H26">
        <v>10</v>
      </c>
      <c r="I26" s="1">
        <f>supermarket_sales_new[[#This Row],[Unit price]]*supermarket_sales_new[[#This Row],[Quantity]]*5%</f>
        <v>4131.5</v>
      </c>
      <c r="J26" s="1">
        <f>(supermarket_sales_new[[#This Row],[Unit price]]*supermarket_sales_new[[#This Row],[Quantity]])+supermarket_sales_new[[#This Row],[Tax 5%]]</f>
        <v>86761.5</v>
      </c>
    </row>
    <row r="27" spans="1:10" x14ac:dyDescent="0.35">
      <c r="A27" t="s">
        <v>9</v>
      </c>
      <c r="B27" t="s">
        <v>49</v>
      </c>
      <c r="C27" t="s">
        <v>11</v>
      </c>
      <c r="D27" t="s">
        <v>12</v>
      </c>
      <c r="E27" t="s">
        <v>13</v>
      </c>
      <c r="F27" t="s">
        <v>27</v>
      </c>
      <c r="G27" s="1">
        <v>4459</v>
      </c>
      <c r="H27">
        <v>5</v>
      </c>
      <c r="I27" s="1">
        <f>supermarket_sales_new[[#This Row],[Unit price]]*supermarket_sales_new[[#This Row],[Quantity]]*5%</f>
        <v>1114.75</v>
      </c>
      <c r="J27" s="1">
        <f>(supermarket_sales_new[[#This Row],[Unit price]]*supermarket_sales_new[[#This Row],[Quantity]])+supermarket_sales_new[[#This Row],[Tax 5%]]</f>
        <v>23409.75</v>
      </c>
    </row>
    <row r="28" spans="1:10" x14ac:dyDescent="0.35">
      <c r="A28" t="s">
        <v>9</v>
      </c>
      <c r="B28" t="s">
        <v>50</v>
      </c>
      <c r="C28" t="s">
        <v>25</v>
      </c>
      <c r="D28" t="s">
        <v>26</v>
      </c>
      <c r="E28" t="s">
        <v>13</v>
      </c>
      <c r="F28" t="s">
        <v>29</v>
      </c>
      <c r="G28" s="1">
        <v>1787</v>
      </c>
      <c r="H28">
        <v>4</v>
      </c>
      <c r="I28" s="1">
        <f>supermarket_sales_new[[#This Row],[Unit price]]*supermarket_sales_new[[#This Row],[Quantity]]*5%</f>
        <v>357.40000000000003</v>
      </c>
      <c r="J28" s="1">
        <f>(supermarket_sales_new[[#This Row],[Unit price]]*supermarket_sales_new[[#This Row],[Quantity]])+supermarket_sales_new[[#This Row],[Tax 5%]]</f>
        <v>7505.4</v>
      </c>
    </row>
    <row r="29" spans="1:10" x14ac:dyDescent="0.35">
      <c r="A29" t="s">
        <v>9</v>
      </c>
      <c r="B29" t="s">
        <v>51</v>
      </c>
      <c r="C29" t="s">
        <v>16</v>
      </c>
      <c r="D29" t="s">
        <v>17</v>
      </c>
      <c r="E29" t="s">
        <v>18</v>
      </c>
      <c r="F29" t="s">
        <v>19</v>
      </c>
      <c r="G29" s="1">
        <v>8598</v>
      </c>
      <c r="H29">
        <v>8</v>
      </c>
      <c r="I29" s="1">
        <f>supermarket_sales_new[[#This Row],[Unit price]]*supermarket_sales_new[[#This Row],[Quantity]]*5%</f>
        <v>3439.2000000000003</v>
      </c>
      <c r="J29" s="1">
        <f>(supermarket_sales_new[[#This Row],[Unit price]]*supermarket_sales_new[[#This Row],[Quantity]])+supermarket_sales_new[[#This Row],[Tax 5%]]</f>
        <v>72223.199999999997</v>
      </c>
    </row>
    <row r="30" spans="1:10" x14ac:dyDescent="0.35">
      <c r="A30" t="s">
        <v>9</v>
      </c>
      <c r="B30" t="s">
        <v>52</v>
      </c>
      <c r="C30" t="s">
        <v>11</v>
      </c>
      <c r="D30" t="s">
        <v>12</v>
      </c>
      <c r="E30" t="s">
        <v>13</v>
      </c>
      <c r="F30" t="s">
        <v>22</v>
      </c>
      <c r="G30" s="1">
        <v>7235</v>
      </c>
      <c r="H30">
        <v>10</v>
      </c>
      <c r="I30" s="1">
        <f>supermarket_sales_new[[#This Row],[Unit price]]*supermarket_sales_new[[#This Row],[Quantity]]*5%</f>
        <v>3617.5</v>
      </c>
      <c r="J30" s="1">
        <f>(supermarket_sales_new[[#This Row],[Unit price]]*supermarket_sales_new[[#This Row],[Quantity]])+supermarket_sales_new[[#This Row],[Tax 5%]]</f>
        <v>75967.5</v>
      </c>
    </row>
    <row r="31" spans="1:10" x14ac:dyDescent="0.35">
      <c r="A31" t="s">
        <v>9</v>
      </c>
      <c r="B31" t="s">
        <v>53</v>
      </c>
      <c r="C31" t="s">
        <v>16</v>
      </c>
      <c r="D31" t="s">
        <v>17</v>
      </c>
      <c r="E31" t="s">
        <v>13</v>
      </c>
      <c r="F31" t="s">
        <v>33</v>
      </c>
      <c r="G31" s="1">
        <v>2474</v>
      </c>
      <c r="H31">
        <v>3</v>
      </c>
      <c r="I31" s="1">
        <f>supermarket_sales_new[[#This Row],[Unit price]]*supermarket_sales_new[[#This Row],[Quantity]]*5%</f>
        <v>371.1</v>
      </c>
      <c r="J31" s="1">
        <f>(supermarket_sales_new[[#This Row],[Unit price]]*supermarket_sales_new[[#This Row],[Quantity]])+supermarket_sales_new[[#This Row],[Tax 5%]]</f>
        <v>7793.1</v>
      </c>
    </row>
    <row r="32" spans="1:10" x14ac:dyDescent="0.35">
      <c r="A32" t="s">
        <v>9</v>
      </c>
      <c r="B32" t="s">
        <v>54</v>
      </c>
      <c r="C32" t="s">
        <v>25</v>
      </c>
      <c r="D32" t="s">
        <v>26</v>
      </c>
      <c r="E32" t="s">
        <v>13</v>
      </c>
      <c r="F32" t="s">
        <v>33</v>
      </c>
      <c r="G32" s="1">
        <v>5507</v>
      </c>
      <c r="H32">
        <v>9</v>
      </c>
      <c r="I32" s="1">
        <f>supermarket_sales_new[[#This Row],[Unit price]]*supermarket_sales_new[[#This Row],[Quantity]]*5%</f>
        <v>2478.15</v>
      </c>
      <c r="J32" s="1">
        <f>(supermarket_sales_new[[#This Row],[Unit price]]*supermarket_sales_new[[#This Row],[Quantity]])+supermarket_sales_new[[#This Row],[Tax 5%]]</f>
        <v>52041.15</v>
      </c>
    </row>
    <row r="33" spans="1:10" x14ac:dyDescent="0.35">
      <c r="A33" t="s">
        <v>9</v>
      </c>
      <c r="B33" t="s">
        <v>55</v>
      </c>
      <c r="C33" t="s">
        <v>16</v>
      </c>
      <c r="D33" t="s">
        <v>17</v>
      </c>
      <c r="E33" t="s">
        <v>18</v>
      </c>
      <c r="F33" t="s">
        <v>14</v>
      </c>
      <c r="G33" s="1">
        <v>3347</v>
      </c>
      <c r="H33">
        <v>2</v>
      </c>
      <c r="I33" s="1">
        <f>supermarket_sales_new[[#This Row],[Unit price]]*supermarket_sales_new[[#This Row],[Quantity]]*5%</f>
        <v>334.70000000000005</v>
      </c>
      <c r="J33" s="1">
        <f>(supermarket_sales_new[[#This Row],[Unit price]]*supermarket_sales_new[[#This Row],[Quantity]])+supermarket_sales_new[[#This Row],[Tax 5%]]</f>
        <v>7028.7</v>
      </c>
    </row>
    <row r="34" spans="1:10" x14ac:dyDescent="0.35">
      <c r="A34" t="s">
        <v>9</v>
      </c>
      <c r="B34" t="s">
        <v>56</v>
      </c>
      <c r="C34" t="s">
        <v>25</v>
      </c>
      <c r="D34" t="s">
        <v>26</v>
      </c>
      <c r="E34" t="s">
        <v>13</v>
      </c>
      <c r="F34" t="s">
        <v>29</v>
      </c>
      <c r="G34" s="1">
        <v>9761</v>
      </c>
      <c r="H34">
        <v>6</v>
      </c>
      <c r="I34" s="1">
        <f>supermarket_sales_new[[#This Row],[Unit price]]*supermarket_sales_new[[#This Row],[Quantity]]*5%</f>
        <v>2928.3</v>
      </c>
      <c r="J34" s="1">
        <f>(supermarket_sales_new[[#This Row],[Unit price]]*supermarket_sales_new[[#This Row],[Quantity]])+supermarket_sales_new[[#This Row],[Tax 5%]]</f>
        <v>61494.3</v>
      </c>
    </row>
    <row r="35" spans="1:10" x14ac:dyDescent="0.35">
      <c r="A35" t="s">
        <v>9</v>
      </c>
      <c r="B35" t="s">
        <v>57</v>
      </c>
      <c r="C35" t="s">
        <v>11</v>
      </c>
      <c r="D35" t="s">
        <v>12</v>
      </c>
      <c r="E35" t="s">
        <v>13</v>
      </c>
      <c r="F35" t="s">
        <v>14</v>
      </c>
      <c r="G35" s="1">
        <v>1833</v>
      </c>
      <c r="H35">
        <v>1</v>
      </c>
      <c r="I35" s="1">
        <f>supermarket_sales_new[[#This Row],[Unit price]]*supermarket_sales_new[[#This Row],[Quantity]]*5%</f>
        <v>91.65</v>
      </c>
      <c r="J35" s="1">
        <f>(supermarket_sales_new[[#This Row],[Unit price]]*supermarket_sales_new[[#This Row],[Quantity]])+supermarket_sales_new[[#This Row],[Tax 5%]]</f>
        <v>1924.65</v>
      </c>
    </row>
    <row r="36" spans="1:10" x14ac:dyDescent="0.35">
      <c r="A36" t="s">
        <v>9</v>
      </c>
      <c r="B36" t="s">
        <v>58</v>
      </c>
      <c r="C36" t="s">
        <v>25</v>
      </c>
      <c r="D36" t="s">
        <v>26</v>
      </c>
      <c r="E36" t="s">
        <v>13</v>
      </c>
      <c r="F36" t="s">
        <v>27</v>
      </c>
      <c r="G36" s="1">
        <v>4852</v>
      </c>
      <c r="H36">
        <v>3</v>
      </c>
      <c r="I36" s="1">
        <f>supermarket_sales_new[[#This Row],[Unit price]]*supermarket_sales_new[[#This Row],[Quantity]]*5%</f>
        <v>727.80000000000007</v>
      </c>
      <c r="J36" s="1">
        <f>(supermarket_sales_new[[#This Row],[Unit price]]*supermarket_sales_new[[#This Row],[Quantity]])+supermarket_sales_new[[#This Row],[Tax 5%]]</f>
        <v>15283.8</v>
      </c>
    </row>
    <row r="37" spans="1:10" x14ac:dyDescent="0.35">
      <c r="A37" t="s">
        <v>9</v>
      </c>
      <c r="B37" t="s">
        <v>59</v>
      </c>
      <c r="C37" t="s">
        <v>16</v>
      </c>
      <c r="D37" t="s">
        <v>17</v>
      </c>
      <c r="E37" t="s">
        <v>18</v>
      </c>
      <c r="F37" t="s">
        <v>19</v>
      </c>
      <c r="G37" s="1">
        <v>7591</v>
      </c>
      <c r="H37">
        <v>6</v>
      </c>
      <c r="I37" s="1">
        <f>supermarket_sales_new[[#This Row],[Unit price]]*supermarket_sales_new[[#This Row],[Quantity]]*5%</f>
        <v>2277.3000000000002</v>
      </c>
      <c r="J37" s="1">
        <f>(supermarket_sales_new[[#This Row],[Unit price]]*supermarket_sales_new[[#This Row],[Quantity]])+supermarket_sales_new[[#This Row],[Tax 5%]]</f>
        <v>47823.3</v>
      </c>
    </row>
    <row r="38" spans="1:10" x14ac:dyDescent="0.35">
      <c r="A38" t="s">
        <v>9</v>
      </c>
      <c r="B38" t="s">
        <v>60</v>
      </c>
      <c r="C38" t="s">
        <v>16</v>
      </c>
      <c r="D38" t="s">
        <v>17</v>
      </c>
      <c r="E38" t="s">
        <v>18</v>
      </c>
      <c r="F38" t="s">
        <v>19</v>
      </c>
      <c r="G38" s="1">
        <v>4165</v>
      </c>
      <c r="H38">
        <v>10</v>
      </c>
      <c r="I38" s="1">
        <f>supermarket_sales_new[[#This Row],[Unit price]]*supermarket_sales_new[[#This Row],[Quantity]]*5%</f>
        <v>2082.5</v>
      </c>
      <c r="J38" s="1">
        <f>(supermarket_sales_new[[#This Row],[Unit price]]*supermarket_sales_new[[#This Row],[Quantity]])+supermarket_sales_new[[#This Row],[Tax 5%]]</f>
        <v>43732.5</v>
      </c>
    </row>
    <row r="39" spans="1:10" x14ac:dyDescent="0.35">
      <c r="A39" t="s">
        <v>9</v>
      </c>
      <c r="B39" t="s">
        <v>61</v>
      </c>
      <c r="C39" t="s">
        <v>11</v>
      </c>
      <c r="D39" t="s">
        <v>12</v>
      </c>
      <c r="E39" t="s">
        <v>13</v>
      </c>
      <c r="F39" t="s">
        <v>29</v>
      </c>
      <c r="G39" s="1">
        <v>2001</v>
      </c>
      <c r="H39">
        <v>9</v>
      </c>
      <c r="I39" s="1">
        <f>supermarket_sales_new[[#This Row],[Unit price]]*supermarket_sales_new[[#This Row],[Quantity]]*5%</f>
        <v>900.45</v>
      </c>
      <c r="J39" s="1">
        <f>(supermarket_sales_new[[#This Row],[Unit price]]*supermarket_sales_new[[#This Row],[Quantity]])+supermarket_sales_new[[#This Row],[Tax 5%]]</f>
        <v>18909.45</v>
      </c>
    </row>
    <row r="40" spans="1:10" x14ac:dyDescent="0.35">
      <c r="A40" t="s">
        <v>9</v>
      </c>
      <c r="B40" t="s">
        <v>62</v>
      </c>
      <c r="C40" t="s">
        <v>16</v>
      </c>
      <c r="D40" t="s">
        <v>17</v>
      </c>
      <c r="E40" t="s">
        <v>13</v>
      </c>
      <c r="F40" t="s">
        <v>27</v>
      </c>
      <c r="G40" s="1">
        <v>7831</v>
      </c>
      <c r="H40">
        <v>10</v>
      </c>
      <c r="I40" s="1">
        <f>supermarket_sales_new[[#This Row],[Unit price]]*supermarket_sales_new[[#This Row],[Quantity]]*5%</f>
        <v>3915.5</v>
      </c>
      <c r="J40" s="1">
        <f>(supermarket_sales_new[[#This Row],[Unit price]]*supermarket_sales_new[[#This Row],[Quantity]])+supermarket_sales_new[[#This Row],[Tax 5%]]</f>
        <v>82225.5</v>
      </c>
    </row>
    <row r="41" spans="1:10" x14ac:dyDescent="0.35">
      <c r="A41" t="s">
        <v>9</v>
      </c>
      <c r="B41" t="s">
        <v>63</v>
      </c>
      <c r="C41" t="s">
        <v>16</v>
      </c>
      <c r="D41" t="s">
        <v>17</v>
      </c>
      <c r="E41" t="s">
        <v>18</v>
      </c>
      <c r="F41" t="s">
        <v>14</v>
      </c>
      <c r="G41" s="1">
        <v>2038</v>
      </c>
      <c r="H41">
        <v>5</v>
      </c>
      <c r="I41" s="1">
        <f>supermarket_sales_new[[#This Row],[Unit price]]*supermarket_sales_new[[#This Row],[Quantity]]*5%</f>
        <v>509.5</v>
      </c>
      <c r="J41" s="1">
        <f>(supermarket_sales_new[[#This Row],[Unit price]]*supermarket_sales_new[[#This Row],[Quantity]])+supermarket_sales_new[[#This Row],[Tax 5%]]</f>
        <v>10699.5</v>
      </c>
    </row>
    <row r="42" spans="1:10" x14ac:dyDescent="0.35">
      <c r="A42" t="s">
        <v>9</v>
      </c>
      <c r="B42" t="s">
        <v>64</v>
      </c>
      <c r="C42" t="s">
        <v>16</v>
      </c>
      <c r="D42" t="s">
        <v>17</v>
      </c>
      <c r="E42" t="s">
        <v>18</v>
      </c>
      <c r="F42" t="s">
        <v>14</v>
      </c>
      <c r="G42" s="1">
        <v>9919</v>
      </c>
      <c r="H42">
        <v>6</v>
      </c>
      <c r="I42" s="1">
        <f>supermarket_sales_new[[#This Row],[Unit price]]*supermarket_sales_new[[#This Row],[Quantity]]*5%</f>
        <v>2975.7000000000003</v>
      </c>
      <c r="J42" s="1">
        <f>(supermarket_sales_new[[#This Row],[Unit price]]*supermarket_sales_new[[#This Row],[Quantity]])+supermarket_sales_new[[#This Row],[Tax 5%]]</f>
        <v>62489.7</v>
      </c>
    </row>
    <row r="43" spans="1:10" x14ac:dyDescent="0.35">
      <c r="A43" t="s">
        <v>9</v>
      </c>
      <c r="B43" t="s">
        <v>65</v>
      </c>
      <c r="C43" t="s">
        <v>25</v>
      </c>
      <c r="D43" t="s">
        <v>26</v>
      </c>
      <c r="E43" t="s">
        <v>18</v>
      </c>
      <c r="F43" t="s">
        <v>27</v>
      </c>
      <c r="G43" s="1">
        <v>9668</v>
      </c>
      <c r="H43">
        <v>3</v>
      </c>
      <c r="I43" s="1">
        <f>supermarket_sales_new[[#This Row],[Unit price]]*supermarket_sales_new[[#This Row],[Quantity]]*5%</f>
        <v>1450.2</v>
      </c>
      <c r="J43" s="1">
        <f>(supermarket_sales_new[[#This Row],[Unit price]]*supermarket_sales_new[[#This Row],[Quantity]])+supermarket_sales_new[[#This Row],[Tax 5%]]</f>
        <v>30454.2</v>
      </c>
    </row>
    <row r="44" spans="1:10" x14ac:dyDescent="0.35">
      <c r="A44" t="s">
        <v>9</v>
      </c>
      <c r="B44" t="s">
        <v>66</v>
      </c>
      <c r="C44" t="s">
        <v>16</v>
      </c>
      <c r="D44" t="s">
        <v>17</v>
      </c>
      <c r="E44" t="s">
        <v>13</v>
      </c>
      <c r="F44" t="s">
        <v>27</v>
      </c>
      <c r="G44" s="1">
        <v>8036</v>
      </c>
      <c r="H44">
        <v>4</v>
      </c>
      <c r="I44" s="1">
        <f>supermarket_sales_new[[#This Row],[Unit price]]*supermarket_sales_new[[#This Row],[Quantity]]*5%</f>
        <v>1607.2</v>
      </c>
      <c r="J44" s="1">
        <f>(supermarket_sales_new[[#This Row],[Unit price]]*supermarket_sales_new[[#This Row],[Quantity]])+supermarket_sales_new[[#This Row],[Tax 5%]]</f>
        <v>33751.199999999997</v>
      </c>
    </row>
    <row r="45" spans="1:10" x14ac:dyDescent="0.35">
      <c r="A45" t="s">
        <v>9</v>
      </c>
      <c r="B45" t="s">
        <v>67</v>
      </c>
      <c r="C45" t="s">
        <v>16</v>
      </c>
      <c r="D45" t="s">
        <v>17</v>
      </c>
      <c r="E45" t="s">
        <v>18</v>
      </c>
      <c r="F45" t="s">
        <v>33</v>
      </c>
      <c r="G45" s="1">
        <v>8306</v>
      </c>
      <c r="H45">
        <v>7</v>
      </c>
      <c r="I45" s="1">
        <f>supermarket_sales_new[[#This Row],[Unit price]]*supermarket_sales_new[[#This Row],[Quantity]]*5%</f>
        <v>2907.1000000000004</v>
      </c>
      <c r="J45" s="1">
        <f>(supermarket_sales_new[[#This Row],[Unit price]]*supermarket_sales_new[[#This Row],[Quantity]])+supermarket_sales_new[[#This Row],[Tax 5%]]</f>
        <v>61049.1</v>
      </c>
    </row>
    <row r="46" spans="1:10" x14ac:dyDescent="0.35">
      <c r="A46" t="s">
        <v>9</v>
      </c>
      <c r="B46" t="s">
        <v>68</v>
      </c>
      <c r="C46" t="s">
        <v>25</v>
      </c>
      <c r="D46" t="s">
        <v>26</v>
      </c>
      <c r="E46" t="s">
        <v>18</v>
      </c>
      <c r="F46" t="s">
        <v>14</v>
      </c>
      <c r="G46" s="1">
        <v>7699</v>
      </c>
      <c r="H46">
        <v>6</v>
      </c>
      <c r="I46" s="1">
        <f>supermarket_sales_new[[#This Row],[Unit price]]*supermarket_sales_new[[#This Row],[Quantity]]*5%</f>
        <v>2309.7000000000003</v>
      </c>
      <c r="J46" s="1">
        <f>(supermarket_sales_new[[#This Row],[Unit price]]*supermarket_sales_new[[#This Row],[Quantity]])+supermarket_sales_new[[#This Row],[Tax 5%]]</f>
        <v>48503.7</v>
      </c>
    </row>
    <row r="47" spans="1:10" x14ac:dyDescent="0.35">
      <c r="A47" t="s">
        <v>9</v>
      </c>
      <c r="B47" t="s">
        <v>69</v>
      </c>
      <c r="C47" t="s">
        <v>16</v>
      </c>
      <c r="D47" t="s">
        <v>17</v>
      </c>
      <c r="E47" t="s">
        <v>13</v>
      </c>
      <c r="F47" t="s">
        <v>22</v>
      </c>
      <c r="G47" s="1">
        <v>4738</v>
      </c>
      <c r="H47">
        <v>4</v>
      </c>
      <c r="I47" s="1">
        <f>supermarket_sales_new[[#This Row],[Unit price]]*supermarket_sales_new[[#This Row],[Quantity]]*5%</f>
        <v>947.6</v>
      </c>
      <c r="J47" s="1">
        <f>(supermarket_sales_new[[#This Row],[Unit price]]*supermarket_sales_new[[#This Row],[Quantity]])+supermarket_sales_new[[#This Row],[Tax 5%]]</f>
        <v>19899.599999999999</v>
      </c>
    </row>
    <row r="48" spans="1:10" x14ac:dyDescent="0.35">
      <c r="A48" t="s">
        <v>9</v>
      </c>
      <c r="B48" t="s">
        <v>70</v>
      </c>
      <c r="C48" t="s">
        <v>16</v>
      </c>
      <c r="D48" t="s">
        <v>17</v>
      </c>
      <c r="E48" t="s">
        <v>18</v>
      </c>
      <c r="F48" t="s">
        <v>33</v>
      </c>
      <c r="G48" s="1">
        <v>4486</v>
      </c>
      <c r="H48">
        <v>10</v>
      </c>
      <c r="I48" s="1">
        <f>supermarket_sales_new[[#This Row],[Unit price]]*supermarket_sales_new[[#This Row],[Quantity]]*5%</f>
        <v>2243</v>
      </c>
      <c r="J48" s="1">
        <f>(supermarket_sales_new[[#This Row],[Unit price]]*supermarket_sales_new[[#This Row],[Quantity]])+supermarket_sales_new[[#This Row],[Tax 5%]]</f>
        <v>47103</v>
      </c>
    </row>
    <row r="49" spans="1:10" x14ac:dyDescent="0.35">
      <c r="A49" t="s">
        <v>9</v>
      </c>
      <c r="B49" t="s">
        <v>71</v>
      </c>
      <c r="C49" t="s">
        <v>11</v>
      </c>
      <c r="D49" t="s">
        <v>12</v>
      </c>
      <c r="E49" t="s">
        <v>13</v>
      </c>
      <c r="F49" t="s">
        <v>33</v>
      </c>
      <c r="G49" s="1">
        <v>2198</v>
      </c>
      <c r="H49">
        <v>7</v>
      </c>
      <c r="I49" s="1">
        <f>supermarket_sales_new[[#This Row],[Unit price]]*supermarket_sales_new[[#This Row],[Quantity]]*5%</f>
        <v>769.30000000000007</v>
      </c>
      <c r="J49" s="1">
        <f>(supermarket_sales_new[[#This Row],[Unit price]]*supermarket_sales_new[[#This Row],[Quantity]])+supermarket_sales_new[[#This Row],[Tax 5%]]</f>
        <v>16155.3</v>
      </c>
    </row>
    <row r="50" spans="1:10" x14ac:dyDescent="0.35">
      <c r="A50" t="s">
        <v>9</v>
      </c>
      <c r="B50" t="s">
        <v>72</v>
      </c>
      <c r="C50" t="s">
        <v>16</v>
      </c>
      <c r="D50" t="s">
        <v>17</v>
      </c>
      <c r="E50" t="s">
        <v>18</v>
      </c>
      <c r="F50" t="s">
        <v>19</v>
      </c>
      <c r="G50" s="1">
        <v>1245</v>
      </c>
      <c r="H50">
        <v>6</v>
      </c>
      <c r="I50" s="1">
        <f>supermarket_sales_new[[#This Row],[Unit price]]*supermarket_sales_new[[#This Row],[Quantity]]*5%</f>
        <v>373.5</v>
      </c>
      <c r="J50" s="1">
        <f>(supermarket_sales_new[[#This Row],[Unit price]]*supermarket_sales_new[[#This Row],[Quantity]])+supermarket_sales_new[[#This Row],[Tax 5%]]</f>
        <v>7843.5</v>
      </c>
    </row>
    <row r="51" spans="1:10" x14ac:dyDescent="0.35">
      <c r="A51" t="s">
        <v>9</v>
      </c>
      <c r="B51" t="s">
        <v>73</v>
      </c>
      <c r="C51" t="s">
        <v>16</v>
      </c>
      <c r="D51" t="s">
        <v>17</v>
      </c>
      <c r="E51" t="s">
        <v>18</v>
      </c>
      <c r="F51" t="s">
        <v>19</v>
      </c>
      <c r="G51" s="1">
        <v>2307</v>
      </c>
      <c r="H51">
        <v>9</v>
      </c>
      <c r="I51" s="1">
        <f>supermarket_sales_new[[#This Row],[Unit price]]*supermarket_sales_new[[#This Row],[Quantity]]*5%</f>
        <v>1038.1500000000001</v>
      </c>
      <c r="J51" s="1">
        <f>(supermarket_sales_new[[#This Row],[Unit price]]*supermarket_sales_new[[#This Row],[Quantity]])+supermarket_sales_new[[#This Row],[Tax 5%]]</f>
        <v>21801.15</v>
      </c>
    </row>
    <row r="52" spans="1:10" x14ac:dyDescent="0.35">
      <c r="A52" t="s">
        <v>9</v>
      </c>
      <c r="B52" t="s">
        <v>74</v>
      </c>
      <c r="C52" t="s">
        <v>16</v>
      </c>
      <c r="D52" t="s">
        <v>17</v>
      </c>
      <c r="E52" t="s">
        <v>18</v>
      </c>
      <c r="F52" t="s">
        <v>27</v>
      </c>
      <c r="G52" s="1">
        <v>3398</v>
      </c>
      <c r="H52">
        <v>9</v>
      </c>
      <c r="I52" s="1">
        <f>supermarket_sales_new[[#This Row],[Unit price]]*supermarket_sales_new[[#This Row],[Quantity]]*5%</f>
        <v>1529.1000000000001</v>
      </c>
      <c r="J52" s="1">
        <f>(supermarket_sales_new[[#This Row],[Unit price]]*supermarket_sales_new[[#This Row],[Quantity]])+supermarket_sales_new[[#This Row],[Tax 5%]]</f>
        <v>32111.1</v>
      </c>
    </row>
    <row r="53" spans="1:10" x14ac:dyDescent="0.35">
      <c r="A53" t="s">
        <v>9</v>
      </c>
      <c r="B53" t="s">
        <v>75</v>
      </c>
      <c r="C53" t="s">
        <v>25</v>
      </c>
      <c r="D53" t="s">
        <v>26</v>
      </c>
      <c r="E53" t="s">
        <v>13</v>
      </c>
      <c r="F53" t="s">
        <v>33</v>
      </c>
      <c r="G53" s="1">
        <v>1649</v>
      </c>
      <c r="H53">
        <v>2</v>
      </c>
      <c r="I53" s="1">
        <f>supermarket_sales_new[[#This Row],[Unit price]]*supermarket_sales_new[[#This Row],[Quantity]]*5%</f>
        <v>164.9</v>
      </c>
      <c r="J53" s="1">
        <f>(supermarket_sales_new[[#This Row],[Unit price]]*supermarket_sales_new[[#This Row],[Quantity]])+supermarket_sales_new[[#This Row],[Tax 5%]]</f>
        <v>3462.9</v>
      </c>
    </row>
    <row r="54" spans="1:10" x14ac:dyDescent="0.35">
      <c r="A54" t="s">
        <v>9</v>
      </c>
      <c r="B54" t="s">
        <v>76</v>
      </c>
      <c r="C54" t="s">
        <v>16</v>
      </c>
      <c r="D54" t="s">
        <v>17</v>
      </c>
      <c r="E54" t="s">
        <v>13</v>
      </c>
      <c r="F54" t="s">
        <v>14</v>
      </c>
      <c r="G54" s="1">
        <v>9821</v>
      </c>
      <c r="H54">
        <v>3</v>
      </c>
      <c r="I54" s="1">
        <f>supermarket_sales_new[[#This Row],[Unit price]]*supermarket_sales_new[[#This Row],[Quantity]]*5%</f>
        <v>1473.15</v>
      </c>
      <c r="J54" s="1">
        <f>(supermarket_sales_new[[#This Row],[Unit price]]*supermarket_sales_new[[#This Row],[Quantity]])+supermarket_sales_new[[#This Row],[Tax 5%]]</f>
        <v>30936.15</v>
      </c>
    </row>
    <row r="55" spans="1:10" x14ac:dyDescent="0.35">
      <c r="A55" t="s">
        <v>9</v>
      </c>
      <c r="B55" t="s">
        <v>77</v>
      </c>
      <c r="C55" t="s">
        <v>25</v>
      </c>
      <c r="D55" t="s">
        <v>26</v>
      </c>
      <c r="E55" t="s">
        <v>18</v>
      </c>
      <c r="F55" t="s">
        <v>29</v>
      </c>
      <c r="G55" s="1">
        <v>7284</v>
      </c>
      <c r="H55">
        <v>7</v>
      </c>
      <c r="I55" s="1">
        <f>supermarket_sales_new[[#This Row],[Unit price]]*supermarket_sales_new[[#This Row],[Quantity]]*5%</f>
        <v>2549.4</v>
      </c>
      <c r="J55" s="1">
        <f>(supermarket_sales_new[[#This Row],[Unit price]]*supermarket_sales_new[[#This Row],[Quantity]])+supermarket_sales_new[[#This Row],[Tax 5%]]</f>
        <v>53537.4</v>
      </c>
    </row>
    <row r="56" spans="1:10" x14ac:dyDescent="0.35">
      <c r="A56" t="s">
        <v>9</v>
      </c>
      <c r="B56" t="s">
        <v>78</v>
      </c>
      <c r="C56" t="s">
        <v>16</v>
      </c>
      <c r="D56" t="s">
        <v>17</v>
      </c>
      <c r="E56" t="s">
        <v>13</v>
      </c>
      <c r="F56" t="s">
        <v>22</v>
      </c>
      <c r="G56" s="1">
        <v>8079</v>
      </c>
      <c r="H56">
        <v>9</v>
      </c>
      <c r="I56" s="1">
        <f>supermarket_sales_new[[#This Row],[Unit price]]*supermarket_sales_new[[#This Row],[Quantity]]*5%</f>
        <v>3635.55</v>
      </c>
      <c r="J56" s="1">
        <f>(supermarket_sales_new[[#This Row],[Unit price]]*supermarket_sales_new[[#This Row],[Quantity]])+supermarket_sales_new[[#This Row],[Tax 5%]]</f>
        <v>76346.55</v>
      </c>
    </row>
    <row r="57" spans="1:10" x14ac:dyDescent="0.35">
      <c r="A57" t="s">
        <v>9</v>
      </c>
      <c r="B57" t="s">
        <v>79</v>
      </c>
      <c r="C57" t="s">
        <v>16</v>
      </c>
      <c r="D57" t="s">
        <v>17</v>
      </c>
      <c r="E57" t="s">
        <v>18</v>
      </c>
      <c r="F57" t="s">
        <v>29</v>
      </c>
      <c r="G57" s="1">
        <v>2702</v>
      </c>
      <c r="H57">
        <v>3</v>
      </c>
      <c r="I57" s="1">
        <f>supermarket_sales_new[[#This Row],[Unit price]]*supermarket_sales_new[[#This Row],[Quantity]]*5%</f>
        <v>405.3</v>
      </c>
      <c r="J57" s="1">
        <f>(supermarket_sales_new[[#This Row],[Unit price]]*supermarket_sales_new[[#This Row],[Quantity]])+supermarket_sales_new[[#This Row],[Tax 5%]]</f>
        <v>8511.2999999999993</v>
      </c>
    </row>
    <row r="58" spans="1:10" x14ac:dyDescent="0.35">
      <c r="A58" t="s">
        <v>9</v>
      </c>
      <c r="B58" t="s">
        <v>80</v>
      </c>
      <c r="C58" t="s">
        <v>11</v>
      </c>
      <c r="D58" t="s">
        <v>12</v>
      </c>
      <c r="E58" t="s">
        <v>18</v>
      </c>
      <c r="F58" t="s">
        <v>27</v>
      </c>
      <c r="G58" s="1">
        <v>1096</v>
      </c>
      <c r="H58">
        <v>10</v>
      </c>
      <c r="I58" s="1">
        <f>supermarket_sales_new[[#This Row],[Unit price]]*supermarket_sales_new[[#This Row],[Quantity]]*5%</f>
        <v>548</v>
      </c>
      <c r="J58" s="1">
        <f>(supermarket_sales_new[[#This Row],[Unit price]]*supermarket_sales_new[[#This Row],[Quantity]])+supermarket_sales_new[[#This Row],[Tax 5%]]</f>
        <v>11508</v>
      </c>
    </row>
    <row r="59" spans="1:10" x14ac:dyDescent="0.35">
      <c r="A59" t="s">
        <v>9</v>
      </c>
      <c r="B59" t="s">
        <v>81</v>
      </c>
      <c r="C59" t="s">
        <v>11</v>
      </c>
      <c r="D59" t="s">
        <v>12</v>
      </c>
      <c r="E59" t="s">
        <v>18</v>
      </c>
      <c r="F59" t="s">
        <v>19</v>
      </c>
      <c r="G59" s="1">
        <v>9956</v>
      </c>
      <c r="H59">
        <v>8</v>
      </c>
      <c r="I59" s="1">
        <f>supermarket_sales_new[[#This Row],[Unit price]]*supermarket_sales_new[[#This Row],[Quantity]]*5%</f>
        <v>3982.4</v>
      </c>
      <c r="J59" s="1">
        <f>(supermarket_sales_new[[#This Row],[Unit price]]*supermarket_sales_new[[#This Row],[Quantity]])+supermarket_sales_new[[#This Row],[Tax 5%]]</f>
        <v>83630.399999999994</v>
      </c>
    </row>
    <row r="60" spans="1:10" x14ac:dyDescent="0.35">
      <c r="A60" t="s">
        <v>9</v>
      </c>
      <c r="B60" t="s">
        <v>82</v>
      </c>
      <c r="C60" t="s">
        <v>25</v>
      </c>
      <c r="D60" t="s">
        <v>26</v>
      </c>
      <c r="E60" t="s">
        <v>13</v>
      </c>
      <c r="F60" t="s">
        <v>29</v>
      </c>
      <c r="G60" s="1">
        <v>5647</v>
      </c>
      <c r="H60">
        <v>8</v>
      </c>
      <c r="I60" s="1">
        <f>supermarket_sales_new[[#This Row],[Unit price]]*supermarket_sales_new[[#This Row],[Quantity]]*5%</f>
        <v>2258.8000000000002</v>
      </c>
      <c r="J60" s="1">
        <f>(supermarket_sales_new[[#This Row],[Unit price]]*supermarket_sales_new[[#This Row],[Quantity]])+supermarket_sales_new[[#This Row],[Tax 5%]]</f>
        <v>47434.8</v>
      </c>
    </row>
    <row r="61" spans="1:10" x14ac:dyDescent="0.35">
      <c r="A61" t="s">
        <v>9</v>
      </c>
      <c r="B61" t="s">
        <v>83</v>
      </c>
      <c r="C61" t="s">
        <v>11</v>
      </c>
      <c r="D61" t="s">
        <v>12</v>
      </c>
      <c r="E61" t="s">
        <v>18</v>
      </c>
      <c r="F61" t="s">
        <v>22</v>
      </c>
      <c r="G61" s="1">
        <v>9369</v>
      </c>
      <c r="H61">
        <v>7</v>
      </c>
      <c r="I61" s="1">
        <f>supermarket_sales_new[[#This Row],[Unit price]]*supermarket_sales_new[[#This Row],[Quantity]]*5%</f>
        <v>3279.15</v>
      </c>
      <c r="J61" s="1">
        <f>(supermarket_sales_new[[#This Row],[Unit price]]*supermarket_sales_new[[#This Row],[Quantity]])+supermarket_sales_new[[#This Row],[Tax 5%]]</f>
        <v>68862.149999999994</v>
      </c>
    </row>
    <row r="62" spans="1:10" x14ac:dyDescent="0.35">
      <c r="A62" t="s">
        <v>9</v>
      </c>
      <c r="B62" t="s">
        <v>84</v>
      </c>
      <c r="C62" t="s">
        <v>11</v>
      </c>
      <c r="D62" t="s">
        <v>12</v>
      </c>
      <c r="E62" t="s">
        <v>18</v>
      </c>
      <c r="F62" t="s">
        <v>33</v>
      </c>
      <c r="G62" s="1">
        <v>3225</v>
      </c>
      <c r="H62">
        <v>5</v>
      </c>
      <c r="I62" s="1">
        <f>supermarket_sales_new[[#This Row],[Unit price]]*supermarket_sales_new[[#This Row],[Quantity]]*5%</f>
        <v>806.25</v>
      </c>
      <c r="J62" s="1">
        <f>(supermarket_sales_new[[#This Row],[Unit price]]*supermarket_sales_new[[#This Row],[Quantity]])+supermarket_sales_new[[#This Row],[Tax 5%]]</f>
        <v>16931.25</v>
      </c>
    </row>
    <row r="63" spans="1:10" x14ac:dyDescent="0.35">
      <c r="A63" t="s">
        <v>9</v>
      </c>
      <c r="B63" t="s">
        <v>85</v>
      </c>
      <c r="C63" t="s">
        <v>16</v>
      </c>
      <c r="D63" t="s">
        <v>17</v>
      </c>
      <c r="E63" t="s">
        <v>18</v>
      </c>
      <c r="F63" t="s">
        <v>29</v>
      </c>
      <c r="G63" s="1">
        <v>3173</v>
      </c>
      <c r="H63">
        <v>9</v>
      </c>
      <c r="I63" s="1">
        <f>supermarket_sales_new[[#This Row],[Unit price]]*supermarket_sales_new[[#This Row],[Quantity]]*5%</f>
        <v>1427.8500000000001</v>
      </c>
      <c r="J63" s="1">
        <f>(supermarket_sales_new[[#This Row],[Unit price]]*supermarket_sales_new[[#This Row],[Quantity]])+supermarket_sales_new[[#This Row],[Tax 5%]]</f>
        <v>29984.85</v>
      </c>
    </row>
    <row r="64" spans="1:10" x14ac:dyDescent="0.35">
      <c r="A64" t="s">
        <v>9</v>
      </c>
      <c r="B64" t="s">
        <v>86</v>
      </c>
      <c r="C64" t="s">
        <v>16</v>
      </c>
      <c r="D64" t="s">
        <v>17</v>
      </c>
      <c r="E64" t="s">
        <v>13</v>
      </c>
      <c r="F64" t="s">
        <v>27</v>
      </c>
      <c r="G64" s="1">
        <v>6854</v>
      </c>
      <c r="H64">
        <v>8</v>
      </c>
      <c r="I64" s="1">
        <f>supermarket_sales_new[[#This Row],[Unit price]]*supermarket_sales_new[[#This Row],[Quantity]]*5%</f>
        <v>2741.6000000000004</v>
      </c>
      <c r="J64" s="1">
        <f>(supermarket_sales_new[[#This Row],[Unit price]]*supermarket_sales_new[[#This Row],[Quantity]])+supermarket_sales_new[[#This Row],[Tax 5%]]</f>
        <v>57573.599999999999</v>
      </c>
    </row>
    <row r="65" spans="1:10" x14ac:dyDescent="0.35">
      <c r="A65" t="s">
        <v>9</v>
      </c>
      <c r="B65" t="s">
        <v>87</v>
      </c>
      <c r="C65" t="s">
        <v>25</v>
      </c>
      <c r="D65" t="s">
        <v>26</v>
      </c>
      <c r="E65" t="s">
        <v>18</v>
      </c>
      <c r="F65" t="s">
        <v>33</v>
      </c>
      <c r="G65" s="1">
        <v>9028</v>
      </c>
      <c r="H65">
        <v>9</v>
      </c>
      <c r="I65" s="1">
        <f>supermarket_sales_new[[#This Row],[Unit price]]*supermarket_sales_new[[#This Row],[Quantity]]*5%</f>
        <v>4062.6000000000004</v>
      </c>
      <c r="J65" s="1">
        <f>(supermarket_sales_new[[#This Row],[Unit price]]*supermarket_sales_new[[#This Row],[Quantity]])+supermarket_sales_new[[#This Row],[Tax 5%]]</f>
        <v>85314.6</v>
      </c>
    </row>
    <row r="66" spans="1:10" x14ac:dyDescent="0.35">
      <c r="A66" t="s">
        <v>9</v>
      </c>
      <c r="B66" t="s">
        <v>88</v>
      </c>
      <c r="C66" t="s">
        <v>25</v>
      </c>
      <c r="D66" t="s">
        <v>26</v>
      </c>
      <c r="E66" t="s">
        <v>18</v>
      </c>
      <c r="F66" t="s">
        <v>29</v>
      </c>
      <c r="G66" s="1">
        <v>3962</v>
      </c>
      <c r="H66">
        <v>7</v>
      </c>
      <c r="I66" s="1">
        <f>supermarket_sales_new[[#This Row],[Unit price]]*supermarket_sales_new[[#This Row],[Quantity]]*5%</f>
        <v>1386.7</v>
      </c>
      <c r="J66" s="1">
        <f>(supermarket_sales_new[[#This Row],[Unit price]]*supermarket_sales_new[[#This Row],[Quantity]])+supermarket_sales_new[[#This Row],[Tax 5%]]</f>
        <v>29120.7</v>
      </c>
    </row>
    <row r="67" spans="1:10" x14ac:dyDescent="0.35">
      <c r="A67" t="s">
        <v>9</v>
      </c>
      <c r="B67" t="s">
        <v>89</v>
      </c>
      <c r="C67" t="s">
        <v>11</v>
      </c>
      <c r="D67" t="s">
        <v>12</v>
      </c>
      <c r="E67" t="s">
        <v>13</v>
      </c>
      <c r="F67" t="s">
        <v>33</v>
      </c>
      <c r="G67" s="1">
        <v>9213</v>
      </c>
      <c r="H67">
        <v>6</v>
      </c>
      <c r="I67" s="1">
        <f>supermarket_sales_new[[#This Row],[Unit price]]*supermarket_sales_new[[#This Row],[Quantity]]*5%</f>
        <v>2763.9</v>
      </c>
      <c r="J67" s="1">
        <f>(supermarket_sales_new[[#This Row],[Unit price]]*supermarket_sales_new[[#This Row],[Quantity]])+supermarket_sales_new[[#This Row],[Tax 5%]]</f>
        <v>58041.9</v>
      </c>
    </row>
    <row r="68" spans="1:10" x14ac:dyDescent="0.35">
      <c r="A68" t="s">
        <v>9</v>
      </c>
      <c r="B68" t="s">
        <v>90</v>
      </c>
      <c r="C68" t="s">
        <v>25</v>
      </c>
      <c r="D68" t="s">
        <v>26</v>
      </c>
      <c r="E68" t="s">
        <v>18</v>
      </c>
      <c r="F68" t="s">
        <v>33</v>
      </c>
      <c r="G68" s="1">
        <v>3484</v>
      </c>
      <c r="H68">
        <v>4</v>
      </c>
      <c r="I68" s="1">
        <f>supermarket_sales_new[[#This Row],[Unit price]]*supermarket_sales_new[[#This Row],[Quantity]]*5%</f>
        <v>696.80000000000007</v>
      </c>
      <c r="J68" s="1">
        <f>(supermarket_sales_new[[#This Row],[Unit price]]*supermarket_sales_new[[#This Row],[Quantity]])+supermarket_sales_new[[#This Row],[Tax 5%]]</f>
        <v>14632.8</v>
      </c>
    </row>
    <row r="69" spans="1:10" x14ac:dyDescent="0.35">
      <c r="A69" t="s">
        <v>9</v>
      </c>
      <c r="B69" t="s">
        <v>91</v>
      </c>
      <c r="C69" t="s">
        <v>16</v>
      </c>
      <c r="D69" t="s">
        <v>17</v>
      </c>
      <c r="E69" t="s">
        <v>18</v>
      </c>
      <c r="F69" t="s">
        <v>14</v>
      </c>
      <c r="G69" s="1">
        <v>813</v>
      </c>
      <c r="H69">
        <v>6</v>
      </c>
      <c r="I69" s="1">
        <f>supermarket_sales_new[[#This Row],[Unit price]]*supermarket_sales_new[[#This Row],[Quantity]]*5%</f>
        <v>243.9</v>
      </c>
      <c r="J69" s="1">
        <f>(supermarket_sales_new[[#This Row],[Unit price]]*supermarket_sales_new[[#This Row],[Quantity]])+supermarket_sales_new[[#This Row],[Tax 5%]]</f>
        <v>5121.8999999999996</v>
      </c>
    </row>
    <row r="70" spans="1:10" x14ac:dyDescent="0.35">
      <c r="A70" t="s">
        <v>9</v>
      </c>
      <c r="B70" t="s">
        <v>92</v>
      </c>
      <c r="C70" t="s">
        <v>11</v>
      </c>
      <c r="D70" t="s">
        <v>12</v>
      </c>
      <c r="E70" t="s">
        <v>18</v>
      </c>
      <c r="F70" t="s">
        <v>19</v>
      </c>
      <c r="G70" s="1">
        <v>2631</v>
      </c>
      <c r="H70">
        <v>5</v>
      </c>
      <c r="I70" s="1">
        <f>supermarket_sales_new[[#This Row],[Unit price]]*supermarket_sales_new[[#This Row],[Quantity]]*5%</f>
        <v>657.75</v>
      </c>
      <c r="J70" s="1">
        <f>(supermarket_sales_new[[#This Row],[Unit price]]*supermarket_sales_new[[#This Row],[Quantity]])+supermarket_sales_new[[#This Row],[Tax 5%]]</f>
        <v>13812.75</v>
      </c>
    </row>
    <row r="71" spans="1:10" x14ac:dyDescent="0.35">
      <c r="A71" t="s">
        <v>9</v>
      </c>
      <c r="B71" t="s">
        <v>93</v>
      </c>
      <c r="C71" t="s">
        <v>11</v>
      </c>
      <c r="D71" t="s">
        <v>12</v>
      </c>
      <c r="E71" t="s">
        <v>13</v>
      </c>
      <c r="F71" t="s">
        <v>22</v>
      </c>
      <c r="G71" s="1">
        <v>3442</v>
      </c>
      <c r="H71">
        <v>6</v>
      </c>
      <c r="I71" s="1">
        <f>supermarket_sales_new[[#This Row],[Unit price]]*supermarket_sales_new[[#This Row],[Quantity]]*5%</f>
        <v>1032.6000000000001</v>
      </c>
      <c r="J71" s="1">
        <f>(supermarket_sales_new[[#This Row],[Unit price]]*supermarket_sales_new[[#This Row],[Quantity]])+supermarket_sales_new[[#This Row],[Tax 5%]]</f>
        <v>21684.6</v>
      </c>
    </row>
    <row r="72" spans="1:10" x14ac:dyDescent="0.35">
      <c r="A72" t="s">
        <v>9</v>
      </c>
      <c r="B72" t="s">
        <v>94</v>
      </c>
      <c r="C72" t="s">
        <v>16</v>
      </c>
      <c r="D72" t="s">
        <v>17</v>
      </c>
      <c r="E72" t="s">
        <v>13</v>
      </c>
      <c r="F72" t="s">
        <v>33</v>
      </c>
      <c r="G72" s="1">
        <v>898</v>
      </c>
      <c r="H72">
        <v>10</v>
      </c>
      <c r="I72" s="1">
        <f>supermarket_sales_new[[#This Row],[Unit price]]*supermarket_sales_new[[#This Row],[Quantity]]*5%</f>
        <v>449</v>
      </c>
      <c r="J72" s="1">
        <f>(supermarket_sales_new[[#This Row],[Unit price]]*supermarket_sales_new[[#This Row],[Quantity]])+supermarket_sales_new[[#This Row],[Tax 5%]]</f>
        <v>9429</v>
      </c>
    </row>
    <row r="73" spans="1:10" x14ac:dyDescent="0.35">
      <c r="A73" t="s">
        <v>9</v>
      </c>
      <c r="B73" t="s">
        <v>95</v>
      </c>
      <c r="C73" t="s">
        <v>16</v>
      </c>
      <c r="D73" t="s">
        <v>17</v>
      </c>
      <c r="E73" t="s">
        <v>13</v>
      </c>
      <c r="F73" t="s">
        <v>14</v>
      </c>
      <c r="G73" s="1">
        <v>686</v>
      </c>
      <c r="H73">
        <v>10</v>
      </c>
      <c r="I73" s="1">
        <f>supermarket_sales_new[[#This Row],[Unit price]]*supermarket_sales_new[[#This Row],[Quantity]]*5%</f>
        <v>343</v>
      </c>
      <c r="J73" s="1">
        <f>(supermarket_sales_new[[#This Row],[Unit price]]*supermarket_sales_new[[#This Row],[Quantity]])+supermarket_sales_new[[#This Row],[Tax 5%]]</f>
        <v>7203</v>
      </c>
    </row>
    <row r="74" spans="1:10" x14ac:dyDescent="0.35">
      <c r="A74" t="s">
        <v>9</v>
      </c>
      <c r="B74" t="s">
        <v>96</v>
      </c>
      <c r="C74" t="s">
        <v>16</v>
      </c>
      <c r="D74" t="s">
        <v>17</v>
      </c>
      <c r="E74" t="s">
        <v>13</v>
      </c>
      <c r="F74" t="s">
        <v>27</v>
      </c>
      <c r="G74" s="1">
        <v>3041</v>
      </c>
      <c r="H74">
        <v>1</v>
      </c>
      <c r="I74" s="1">
        <f>supermarket_sales_new[[#This Row],[Unit price]]*supermarket_sales_new[[#This Row],[Quantity]]*5%</f>
        <v>152.05000000000001</v>
      </c>
      <c r="J74" s="1">
        <f>(supermarket_sales_new[[#This Row],[Unit price]]*supermarket_sales_new[[#This Row],[Quantity]])+supermarket_sales_new[[#This Row],[Tax 5%]]</f>
        <v>3193.05</v>
      </c>
    </row>
    <row r="75" spans="1:10" x14ac:dyDescent="0.35">
      <c r="A75" t="s">
        <v>9</v>
      </c>
      <c r="B75" t="s">
        <v>97</v>
      </c>
      <c r="C75" t="s">
        <v>11</v>
      </c>
      <c r="D75" t="s">
        <v>12</v>
      </c>
      <c r="E75" t="s">
        <v>18</v>
      </c>
      <c r="F75" t="s">
        <v>22</v>
      </c>
      <c r="G75" s="1">
        <v>7795</v>
      </c>
      <c r="H75">
        <v>6</v>
      </c>
      <c r="I75" s="1">
        <f>supermarket_sales_new[[#This Row],[Unit price]]*supermarket_sales_new[[#This Row],[Quantity]]*5%</f>
        <v>2338.5</v>
      </c>
      <c r="J75" s="1">
        <f>(supermarket_sales_new[[#This Row],[Unit price]]*supermarket_sales_new[[#This Row],[Quantity]])+supermarket_sales_new[[#This Row],[Tax 5%]]</f>
        <v>49108.5</v>
      </c>
    </row>
    <row r="76" spans="1:10" x14ac:dyDescent="0.35">
      <c r="A76" t="s">
        <v>9</v>
      </c>
      <c r="B76" t="s">
        <v>98</v>
      </c>
      <c r="C76" t="s">
        <v>16</v>
      </c>
      <c r="D76" t="s">
        <v>17</v>
      </c>
      <c r="E76" t="s">
        <v>18</v>
      </c>
      <c r="F76" t="s">
        <v>14</v>
      </c>
      <c r="G76" s="1">
        <v>4626</v>
      </c>
      <c r="H76">
        <v>6</v>
      </c>
      <c r="I76" s="1">
        <f>supermarket_sales_new[[#This Row],[Unit price]]*supermarket_sales_new[[#This Row],[Quantity]]*5%</f>
        <v>1387.8000000000002</v>
      </c>
      <c r="J76" s="1">
        <f>(supermarket_sales_new[[#This Row],[Unit price]]*supermarket_sales_new[[#This Row],[Quantity]])+supermarket_sales_new[[#This Row],[Tax 5%]]</f>
        <v>29143.8</v>
      </c>
    </row>
    <row r="77" spans="1:10" x14ac:dyDescent="0.35">
      <c r="A77" t="s">
        <v>9</v>
      </c>
      <c r="B77" t="s">
        <v>99</v>
      </c>
      <c r="C77" t="s">
        <v>11</v>
      </c>
      <c r="D77" t="s">
        <v>12</v>
      </c>
      <c r="E77" t="s">
        <v>13</v>
      </c>
      <c r="F77" t="s">
        <v>29</v>
      </c>
      <c r="G77" s="1">
        <v>3014</v>
      </c>
      <c r="H77">
        <v>10</v>
      </c>
      <c r="I77" s="1">
        <f>supermarket_sales_new[[#This Row],[Unit price]]*supermarket_sales_new[[#This Row],[Quantity]]*5%</f>
        <v>1507</v>
      </c>
      <c r="J77" s="1">
        <f>(supermarket_sales_new[[#This Row],[Unit price]]*supermarket_sales_new[[#This Row],[Quantity]])+supermarket_sales_new[[#This Row],[Tax 5%]]</f>
        <v>31647</v>
      </c>
    </row>
    <row r="78" spans="1:10" x14ac:dyDescent="0.35">
      <c r="A78" t="s">
        <v>9</v>
      </c>
      <c r="B78" t="s">
        <v>100</v>
      </c>
      <c r="C78" t="s">
        <v>25</v>
      </c>
      <c r="D78" t="s">
        <v>26</v>
      </c>
      <c r="E78" t="s">
        <v>13</v>
      </c>
      <c r="F78" t="s">
        <v>29</v>
      </c>
      <c r="G78" s="1">
        <v>9154</v>
      </c>
      <c r="H78">
        <v>4</v>
      </c>
      <c r="I78" s="1">
        <f>supermarket_sales_new[[#This Row],[Unit price]]*supermarket_sales_new[[#This Row],[Quantity]]*5%</f>
        <v>1830.8000000000002</v>
      </c>
      <c r="J78" s="1">
        <f>(supermarket_sales_new[[#This Row],[Unit price]]*supermarket_sales_new[[#This Row],[Quantity]])+supermarket_sales_new[[#This Row],[Tax 5%]]</f>
        <v>38446.800000000003</v>
      </c>
    </row>
    <row r="79" spans="1:10" x14ac:dyDescent="0.35">
      <c r="A79" t="s">
        <v>9</v>
      </c>
      <c r="B79" t="s">
        <v>101</v>
      </c>
      <c r="C79" t="s">
        <v>16</v>
      </c>
      <c r="D79" t="s">
        <v>17</v>
      </c>
      <c r="E79" t="s">
        <v>18</v>
      </c>
      <c r="F79" t="s">
        <v>27</v>
      </c>
      <c r="G79" s="1">
        <v>1648</v>
      </c>
      <c r="H79">
        <v>6</v>
      </c>
      <c r="I79" s="1">
        <f>supermarket_sales_new[[#This Row],[Unit price]]*supermarket_sales_new[[#This Row],[Quantity]]*5%</f>
        <v>494.40000000000003</v>
      </c>
      <c r="J79" s="1">
        <f>(supermarket_sales_new[[#This Row],[Unit price]]*supermarket_sales_new[[#This Row],[Quantity]])+supermarket_sales_new[[#This Row],[Tax 5%]]</f>
        <v>10382.4</v>
      </c>
    </row>
    <row r="80" spans="1:10" x14ac:dyDescent="0.35">
      <c r="A80" t="s">
        <v>9</v>
      </c>
      <c r="B80" t="s">
        <v>102</v>
      </c>
      <c r="C80" t="s">
        <v>16</v>
      </c>
      <c r="D80" t="s">
        <v>17</v>
      </c>
      <c r="E80" t="s">
        <v>18</v>
      </c>
      <c r="F80" t="s">
        <v>33</v>
      </c>
      <c r="G80" s="1">
        <v>8097</v>
      </c>
      <c r="H80">
        <v>8</v>
      </c>
      <c r="I80" s="1">
        <f>supermarket_sales_new[[#This Row],[Unit price]]*supermarket_sales_new[[#This Row],[Quantity]]*5%</f>
        <v>3238.8</v>
      </c>
      <c r="J80" s="1">
        <f>(supermarket_sales_new[[#This Row],[Unit price]]*supermarket_sales_new[[#This Row],[Quantity]])+supermarket_sales_new[[#This Row],[Tax 5%]]</f>
        <v>68014.8</v>
      </c>
    </row>
    <row r="81" spans="1:10" x14ac:dyDescent="0.35">
      <c r="A81" t="s">
        <v>9</v>
      </c>
      <c r="B81" t="s">
        <v>103</v>
      </c>
      <c r="C81" t="s">
        <v>16</v>
      </c>
      <c r="D81" t="s">
        <v>17</v>
      </c>
      <c r="E81" t="s">
        <v>18</v>
      </c>
      <c r="F81" t="s">
        <v>27</v>
      </c>
      <c r="G81" s="1">
        <v>4318</v>
      </c>
      <c r="H81">
        <v>8</v>
      </c>
      <c r="I81" s="1">
        <f>supermarket_sales_new[[#This Row],[Unit price]]*supermarket_sales_new[[#This Row],[Quantity]]*5%</f>
        <v>1727.2</v>
      </c>
      <c r="J81" s="1">
        <f>(supermarket_sales_new[[#This Row],[Unit price]]*supermarket_sales_new[[#This Row],[Quantity]])+supermarket_sales_new[[#This Row],[Tax 5%]]</f>
        <v>36271.199999999997</v>
      </c>
    </row>
    <row r="82" spans="1:10" x14ac:dyDescent="0.35">
      <c r="A82" t="s">
        <v>9</v>
      </c>
      <c r="B82" t="s">
        <v>104</v>
      </c>
      <c r="C82" t="s">
        <v>16</v>
      </c>
      <c r="D82" t="s">
        <v>17</v>
      </c>
      <c r="E82" t="s">
        <v>18</v>
      </c>
      <c r="F82" t="s">
        <v>29</v>
      </c>
      <c r="G82" s="1">
        <v>2251</v>
      </c>
      <c r="H82">
        <v>7</v>
      </c>
      <c r="I82" s="1">
        <f>supermarket_sales_new[[#This Row],[Unit price]]*supermarket_sales_new[[#This Row],[Quantity]]*5%</f>
        <v>787.85</v>
      </c>
      <c r="J82" s="1">
        <f>(supermarket_sales_new[[#This Row],[Unit price]]*supermarket_sales_new[[#This Row],[Quantity]])+supermarket_sales_new[[#This Row],[Tax 5%]]</f>
        <v>16544.849999999999</v>
      </c>
    </row>
    <row r="83" spans="1:10" x14ac:dyDescent="0.35">
      <c r="A83" t="s">
        <v>9</v>
      </c>
      <c r="B83" t="s">
        <v>105</v>
      </c>
      <c r="C83" t="s">
        <v>11</v>
      </c>
      <c r="D83" t="s">
        <v>12</v>
      </c>
      <c r="E83" t="s">
        <v>18</v>
      </c>
      <c r="F83" t="s">
        <v>33</v>
      </c>
      <c r="G83" s="1">
        <v>1234</v>
      </c>
      <c r="H83">
        <v>7</v>
      </c>
      <c r="I83" s="1">
        <f>supermarket_sales_new[[#This Row],[Unit price]]*supermarket_sales_new[[#This Row],[Quantity]]*5%</f>
        <v>431.90000000000003</v>
      </c>
      <c r="J83" s="1">
        <f>(supermarket_sales_new[[#This Row],[Unit price]]*supermarket_sales_new[[#This Row],[Quantity]])+supermarket_sales_new[[#This Row],[Tax 5%]]</f>
        <v>9069.9</v>
      </c>
    </row>
    <row r="84" spans="1:10" x14ac:dyDescent="0.35">
      <c r="A84" t="s">
        <v>9</v>
      </c>
      <c r="B84" t="s">
        <v>106</v>
      </c>
      <c r="C84" t="s">
        <v>25</v>
      </c>
      <c r="D84" t="s">
        <v>26</v>
      </c>
      <c r="E84" t="s">
        <v>13</v>
      </c>
      <c r="F84" t="s">
        <v>22</v>
      </c>
      <c r="G84" s="1">
        <v>9449</v>
      </c>
      <c r="H84">
        <v>8</v>
      </c>
      <c r="I84" s="1">
        <f>supermarket_sales_new[[#This Row],[Unit price]]*supermarket_sales_new[[#This Row],[Quantity]]*5%</f>
        <v>3779.6000000000004</v>
      </c>
      <c r="J84" s="1">
        <f>(supermarket_sales_new[[#This Row],[Unit price]]*supermarket_sales_new[[#This Row],[Quantity]])+supermarket_sales_new[[#This Row],[Tax 5%]]</f>
        <v>79371.600000000006</v>
      </c>
    </row>
    <row r="85" spans="1:10" x14ac:dyDescent="0.35">
      <c r="A85" t="s">
        <v>9</v>
      </c>
      <c r="B85" t="s">
        <v>107</v>
      </c>
      <c r="C85" t="s">
        <v>16</v>
      </c>
      <c r="D85" t="s">
        <v>17</v>
      </c>
      <c r="E85" t="s">
        <v>18</v>
      </c>
      <c r="F85" t="s">
        <v>22</v>
      </c>
      <c r="G85" s="1">
        <v>6981</v>
      </c>
      <c r="H85">
        <v>4</v>
      </c>
      <c r="I85" s="1">
        <f>supermarket_sales_new[[#This Row],[Unit price]]*supermarket_sales_new[[#This Row],[Quantity]]*5%</f>
        <v>1396.2</v>
      </c>
      <c r="J85" s="1">
        <f>(supermarket_sales_new[[#This Row],[Unit price]]*supermarket_sales_new[[#This Row],[Quantity]])+supermarket_sales_new[[#This Row],[Tax 5%]]</f>
        <v>29320.2</v>
      </c>
    </row>
    <row r="86" spans="1:10" x14ac:dyDescent="0.35">
      <c r="A86" t="s">
        <v>9</v>
      </c>
      <c r="B86" t="s">
        <v>108</v>
      </c>
      <c r="C86" t="s">
        <v>25</v>
      </c>
      <c r="D86" t="s">
        <v>26</v>
      </c>
      <c r="E86" t="s">
        <v>18</v>
      </c>
      <c r="F86" t="s">
        <v>22</v>
      </c>
      <c r="G86" s="1">
        <v>7704</v>
      </c>
      <c r="H86">
        <v>3</v>
      </c>
      <c r="I86" s="1">
        <f>supermarket_sales_new[[#This Row],[Unit price]]*supermarket_sales_new[[#This Row],[Quantity]]*5%</f>
        <v>1155.6000000000001</v>
      </c>
      <c r="J86" s="1">
        <f>(supermarket_sales_new[[#This Row],[Unit price]]*supermarket_sales_new[[#This Row],[Quantity]])+supermarket_sales_new[[#This Row],[Tax 5%]]</f>
        <v>24267.599999999999</v>
      </c>
    </row>
    <row r="87" spans="1:10" x14ac:dyDescent="0.35">
      <c r="A87" t="s">
        <v>9</v>
      </c>
      <c r="B87" t="s">
        <v>109</v>
      </c>
      <c r="C87" t="s">
        <v>25</v>
      </c>
      <c r="D87" t="s">
        <v>26</v>
      </c>
      <c r="E87" t="s">
        <v>18</v>
      </c>
      <c r="F87" t="s">
        <v>29</v>
      </c>
      <c r="G87" s="1">
        <v>7352</v>
      </c>
      <c r="H87">
        <v>2</v>
      </c>
      <c r="I87" s="1">
        <f>supermarket_sales_new[[#This Row],[Unit price]]*supermarket_sales_new[[#This Row],[Quantity]]*5%</f>
        <v>735.2</v>
      </c>
      <c r="J87" s="1">
        <f>(supermarket_sales_new[[#This Row],[Unit price]]*supermarket_sales_new[[#This Row],[Quantity]])+supermarket_sales_new[[#This Row],[Tax 5%]]</f>
        <v>15439.2</v>
      </c>
    </row>
    <row r="88" spans="1:10" x14ac:dyDescent="0.35">
      <c r="A88" t="s">
        <v>9</v>
      </c>
      <c r="B88" t="s">
        <v>110</v>
      </c>
      <c r="C88" t="s">
        <v>16</v>
      </c>
      <c r="D88" t="s">
        <v>17</v>
      </c>
      <c r="E88" t="s">
        <v>18</v>
      </c>
      <c r="F88" t="s">
        <v>27</v>
      </c>
      <c r="G88" s="1">
        <v>878</v>
      </c>
      <c r="H88">
        <v>9</v>
      </c>
      <c r="I88" s="1">
        <f>supermarket_sales_new[[#This Row],[Unit price]]*supermarket_sales_new[[#This Row],[Quantity]]*5%</f>
        <v>395.1</v>
      </c>
      <c r="J88" s="1">
        <f>(supermarket_sales_new[[#This Row],[Unit price]]*supermarket_sales_new[[#This Row],[Quantity]])+supermarket_sales_new[[#This Row],[Tax 5%]]</f>
        <v>8297.1</v>
      </c>
    </row>
    <row r="89" spans="1:10" x14ac:dyDescent="0.35">
      <c r="A89" t="s">
        <v>9</v>
      </c>
      <c r="B89" t="s">
        <v>111</v>
      </c>
      <c r="C89" t="s">
        <v>16</v>
      </c>
      <c r="D89" t="s">
        <v>17</v>
      </c>
      <c r="E89" t="s">
        <v>13</v>
      </c>
      <c r="F89" t="s">
        <v>29</v>
      </c>
      <c r="G89" s="1">
        <v>7429</v>
      </c>
      <c r="H89">
        <v>1</v>
      </c>
      <c r="I89" s="1">
        <f>supermarket_sales_new[[#This Row],[Unit price]]*supermarket_sales_new[[#This Row],[Quantity]]*5%</f>
        <v>371.45000000000005</v>
      </c>
      <c r="J89" s="1">
        <f>(supermarket_sales_new[[#This Row],[Unit price]]*supermarket_sales_new[[#This Row],[Quantity]])+supermarket_sales_new[[#This Row],[Tax 5%]]</f>
        <v>7800.45</v>
      </c>
    </row>
    <row r="90" spans="1:10" x14ac:dyDescent="0.35">
      <c r="A90" t="s">
        <v>9</v>
      </c>
      <c r="B90" t="s">
        <v>112</v>
      </c>
      <c r="C90" t="s">
        <v>11</v>
      </c>
      <c r="D90" t="s">
        <v>12</v>
      </c>
      <c r="E90" t="s">
        <v>18</v>
      </c>
      <c r="F90" t="s">
        <v>22</v>
      </c>
      <c r="G90" s="1">
        <v>2529</v>
      </c>
      <c r="H90">
        <v>1</v>
      </c>
      <c r="I90" s="1">
        <f>supermarket_sales_new[[#This Row],[Unit price]]*supermarket_sales_new[[#This Row],[Quantity]]*5%</f>
        <v>126.45</v>
      </c>
      <c r="J90" s="1">
        <f>(supermarket_sales_new[[#This Row],[Unit price]]*supermarket_sales_new[[#This Row],[Quantity]])+supermarket_sales_new[[#This Row],[Tax 5%]]</f>
        <v>2655.45</v>
      </c>
    </row>
    <row r="91" spans="1:10" x14ac:dyDescent="0.35">
      <c r="A91" t="s">
        <v>9</v>
      </c>
      <c r="B91" t="s">
        <v>113</v>
      </c>
      <c r="C91" t="s">
        <v>16</v>
      </c>
      <c r="D91" t="s">
        <v>17</v>
      </c>
      <c r="E91" t="s">
        <v>13</v>
      </c>
      <c r="F91" t="s">
        <v>27</v>
      </c>
      <c r="G91" s="1">
        <v>7139</v>
      </c>
      <c r="H91">
        <v>5</v>
      </c>
      <c r="I91" s="1">
        <f>supermarket_sales_new[[#This Row],[Unit price]]*supermarket_sales_new[[#This Row],[Quantity]]*5%</f>
        <v>1784.75</v>
      </c>
      <c r="J91" s="1">
        <f>(supermarket_sales_new[[#This Row],[Unit price]]*supermarket_sales_new[[#This Row],[Quantity]])+supermarket_sales_new[[#This Row],[Tax 5%]]</f>
        <v>37479.75</v>
      </c>
    </row>
    <row r="92" spans="1:10" x14ac:dyDescent="0.35">
      <c r="A92" t="s">
        <v>9</v>
      </c>
      <c r="B92" t="s">
        <v>114</v>
      </c>
      <c r="C92" t="s">
        <v>16</v>
      </c>
      <c r="D92" t="s">
        <v>17</v>
      </c>
      <c r="E92" t="s">
        <v>13</v>
      </c>
      <c r="F92" t="s">
        <v>33</v>
      </c>
      <c r="G92" s="1">
        <v>1915</v>
      </c>
      <c r="H92">
        <v>6</v>
      </c>
      <c r="I92" s="1">
        <f>supermarket_sales_new[[#This Row],[Unit price]]*supermarket_sales_new[[#This Row],[Quantity]]*5%</f>
        <v>574.5</v>
      </c>
      <c r="J92" s="1">
        <f>(supermarket_sales_new[[#This Row],[Unit price]]*supermarket_sales_new[[#This Row],[Quantity]])+supermarket_sales_new[[#This Row],[Tax 5%]]</f>
        <v>12064.5</v>
      </c>
    </row>
    <row r="93" spans="1:10" x14ac:dyDescent="0.35">
      <c r="A93" t="s">
        <v>9</v>
      </c>
      <c r="B93" t="s">
        <v>115</v>
      </c>
      <c r="C93" t="s">
        <v>25</v>
      </c>
      <c r="D93" t="s">
        <v>26</v>
      </c>
      <c r="E93" t="s">
        <v>13</v>
      </c>
      <c r="F93" t="s">
        <v>19</v>
      </c>
      <c r="G93" s="1">
        <v>5749</v>
      </c>
      <c r="H93">
        <v>4</v>
      </c>
      <c r="I93" s="1">
        <f>supermarket_sales_new[[#This Row],[Unit price]]*supermarket_sales_new[[#This Row],[Quantity]]*5%</f>
        <v>1149.8</v>
      </c>
      <c r="J93" s="1">
        <f>(supermarket_sales_new[[#This Row],[Unit price]]*supermarket_sales_new[[#This Row],[Quantity]])+supermarket_sales_new[[#This Row],[Tax 5%]]</f>
        <v>24145.8</v>
      </c>
    </row>
    <row r="94" spans="1:10" x14ac:dyDescent="0.35">
      <c r="A94" t="s">
        <v>9</v>
      </c>
      <c r="B94" t="s">
        <v>116</v>
      </c>
      <c r="C94" t="s">
        <v>11</v>
      </c>
      <c r="D94" t="s">
        <v>12</v>
      </c>
      <c r="E94" t="s">
        <v>18</v>
      </c>
      <c r="F94" t="s">
        <v>14</v>
      </c>
      <c r="G94" s="1">
        <v>2303</v>
      </c>
      <c r="H94">
        <v>9</v>
      </c>
      <c r="I94" s="1">
        <f>supermarket_sales_new[[#This Row],[Unit price]]*supermarket_sales_new[[#This Row],[Quantity]]*5%</f>
        <v>1036.3500000000001</v>
      </c>
      <c r="J94" s="1">
        <f>(supermarket_sales_new[[#This Row],[Unit price]]*supermarket_sales_new[[#This Row],[Quantity]])+supermarket_sales_new[[#This Row],[Tax 5%]]</f>
        <v>21763.35</v>
      </c>
    </row>
    <row r="95" spans="1:10" x14ac:dyDescent="0.35">
      <c r="A95" t="s">
        <v>9</v>
      </c>
      <c r="B95" t="s">
        <v>117</v>
      </c>
      <c r="C95" t="s">
        <v>16</v>
      </c>
      <c r="D95" t="s">
        <v>17</v>
      </c>
      <c r="E95" t="s">
        <v>13</v>
      </c>
      <c r="F95" t="s">
        <v>19</v>
      </c>
      <c r="G95" s="1">
        <v>6665</v>
      </c>
      <c r="H95">
        <v>9</v>
      </c>
      <c r="I95" s="1">
        <f>supermarket_sales_new[[#This Row],[Unit price]]*supermarket_sales_new[[#This Row],[Quantity]]*5%</f>
        <v>2999.25</v>
      </c>
      <c r="J95" s="1">
        <f>(supermarket_sales_new[[#This Row],[Unit price]]*supermarket_sales_new[[#This Row],[Quantity]])+supermarket_sales_new[[#This Row],[Tax 5%]]</f>
        <v>62984.25</v>
      </c>
    </row>
    <row r="96" spans="1:10" x14ac:dyDescent="0.35">
      <c r="A96" t="s">
        <v>9</v>
      </c>
      <c r="B96" t="s">
        <v>118</v>
      </c>
      <c r="C96" t="s">
        <v>16</v>
      </c>
      <c r="D96" t="s">
        <v>17</v>
      </c>
      <c r="E96" t="s">
        <v>13</v>
      </c>
      <c r="F96" t="s">
        <v>22</v>
      </c>
      <c r="G96" s="1">
        <v>2853</v>
      </c>
      <c r="H96">
        <v>10</v>
      </c>
      <c r="I96" s="1">
        <f>supermarket_sales_new[[#This Row],[Unit price]]*supermarket_sales_new[[#This Row],[Quantity]]*5%</f>
        <v>1426.5</v>
      </c>
      <c r="J96" s="1">
        <f>(supermarket_sales_new[[#This Row],[Unit price]]*supermarket_sales_new[[#This Row],[Quantity]])+supermarket_sales_new[[#This Row],[Tax 5%]]</f>
        <v>29956.5</v>
      </c>
    </row>
    <row r="97" spans="1:10" x14ac:dyDescent="0.35">
      <c r="A97" t="s">
        <v>9</v>
      </c>
      <c r="B97" t="s">
        <v>119</v>
      </c>
      <c r="C97" t="s">
        <v>25</v>
      </c>
      <c r="D97" t="s">
        <v>26</v>
      </c>
      <c r="E97" t="s">
        <v>18</v>
      </c>
      <c r="F97" t="s">
        <v>29</v>
      </c>
      <c r="G97" s="1">
        <v>3037</v>
      </c>
      <c r="H97">
        <v>3</v>
      </c>
      <c r="I97" s="1">
        <f>supermarket_sales_new[[#This Row],[Unit price]]*supermarket_sales_new[[#This Row],[Quantity]]*5%</f>
        <v>455.55</v>
      </c>
      <c r="J97" s="1">
        <f>(supermarket_sales_new[[#This Row],[Unit price]]*supermarket_sales_new[[#This Row],[Quantity]])+supermarket_sales_new[[#This Row],[Tax 5%]]</f>
        <v>9566.5499999999993</v>
      </c>
    </row>
    <row r="98" spans="1:10" x14ac:dyDescent="0.35">
      <c r="A98" t="s">
        <v>9</v>
      </c>
      <c r="B98" t="s">
        <v>120</v>
      </c>
      <c r="C98" t="s">
        <v>25</v>
      </c>
      <c r="D98" t="s">
        <v>26</v>
      </c>
      <c r="E98" t="s">
        <v>18</v>
      </c>
      <c r="F98" t="s">
        <v>19</v>
      </c>
      <c r="G98" s="1">
        <v>9973</v>
      </c>
      <c r="H98">
        <v>9</v>
      </c>
      <c r="I98" s="1">
        <f>supermarket_sales_new[[#This Row],[Unit price]]*supermarket_sales_new[[#This Row],[Quantity]]*5%</f>
        <v>4487.8500000000004</v>
      </c>
      <c r="J98" s="1">
        <f>(supermarket_sales_new[[#This Row],[Unit price]]*supermarket_sales_new[[#This Row],[Quantity]])+supermarket_sales_new[[#This Row],[Tax 5%]]</f>
        <v>94244.85</v>
      </c>
    </row>
    <row r="99" spans="1:10" x14ac:dyDescent="0.35">
      <c r="A99" t="s">
        <v>9</v>
      </c>
      <c r="B99" t="s">
        <v>121</v>
      </c>
      <c r="C99" t="s">
        <v>16</v>
      </c>
      <c r="D99" t="s">
        <v>17</v>
      </c>
      <c r="E99" t="s">
        <v>18</v>
      </c>
      <c r="F99" t="s">
        <v>27</v>
      </c>
      <c r="G99" s="1">
        <v>9326</v>
      </c>
      <c r="H99">
        <v>9</v>
      </c>
      <c r="I99" s="1">
        <f>supermarket_sales_new[[#This Row],[Unit price]]*supermarket_sales_new[[#This Row],[Quantity]]*5%</f>
        <v>4196.7</v>
      </c>
      <c r="J99" s="1">
        <f>(supermarket_sales_new[[#This Row],[Unit price]]*supermarket_sales_new[[#This Row],[Quantity]])+supermarket_sales_new[[#This Row],[Tax 5%]]</f>
        <v>88130.7</v>
      </c>
    </row>
    <row r="100" spans="1:10" x14ac:dyDescent="0.35">
      <c r="A100" t="s">
        <v>9</v>
      </c>
      <c r="B100" t="s">
        <v>122</v>
      </c>
      <c r="C100" t="s">
        <v>25</v>
      </c>
      <c r="D100" t="s">
        <v>26</v>
      </c>
      <c r="E100" t="s">
        <v>13</v>
      </c>
      <c r="F100" t="s">
        <v>33</v>
      </c>
      <c r="G100" s="1">
        <v>2961</v>
      </c>
      <c r="H100">
        <v>7</v>
      </c>
      <c r="I100" s="1">
        <f>supermarket_sales_new[[#This Row],[Unit price]]*supermarket_sales_new[[#This Row],[Quantity]]*5%</f>
        <v>1036.3500000000001</v>
      </c>
      <c r="J100" s="1">
        <f>(supermarket_sales_new[[#This Row],[Unit price]]*supermarket_sales_new[[#This Row],[Quantity]])+supermarket_sales_new[[#This Row],[Tax 5%]]</f>
        <v>21763.35</v>
      </c>
    </row>
    <row r="101" spans="1:10" x14ac:dyDescent="0.35">
      <c r="A101" t="s">
        <v>9</v>
      </c>
      <c r="B101" t="s">
        <v>123</v>
      </c>
      <c r="C101" t="s">
        <v>25</v>
      </c>
      <c r="D101" t="s">
        <v>26</v>
      </c>
      <c r="E101" t="s">
        <v>18</v>
      </c>
      <c r="F101" t="s">
        <v>33</v>
      </c>
      <c r="G101" s="1">
        <v>2477</v>
      </c>
      <c r="H101">
        <v>5</v>
      </c>
      <c r="I101" s="1">
        <f>supermarket_sales_new[[#This Row],[Unit price]]*supermarket_sales_new[[#This Row],[Quantity]]*5%</f>
        <v>619.25</v>
      </c>
      <c r="J101" s="1">
        <f>(supermarket_sales_new[[#This Row],[Unit price]]*supermarket_sales_new[[#This Row],[Quantity]])+supermarket_sales_new[[#This Row],[Tax 5%]]</f>
        <v>13004.25</v>
      </c>
    </row>
    <row r="102" spans="1:10" x14ac:dyDescent="0.35">
      <c r="A102" t="s">
        <v>9</v>
      </c>
      <c r="B102" t="s">
        <v>124</v>
      </c>
      <c r="C102" t="s">
        <v>11</v>
      </c>
      <c r="D102" t="s">
        <v>12</v>
      </c>
      <c r="E102" t="s">
        <v>13</v>
      </c>
      <c r="F102" t="s">
        <v>19</v>
      </c>
      <c r="G102" s="1">
        <v>9464</v>
      </c>
      <c r="H102">
        <v>3</v>
      </c>
      <c r="I102" s="1">
        <f>supermarket_sales_new[[#This Row],[Unit price]]*supermarket_sales_new[[#This Row],[Quantity]]*5%</f>
        <v>1419.6000000000001</v>
      </c>
      <c r="J102" s="1">
        <f>(supermarket_sales_new[[#This Row],[Unit price]]*supermarket_sales_new[[#This Row],[Quantity]])+supermarket_sales_new[[#This Row],[Tax 5%]]</f>
        <v>29811.599999999999</v>
      </c>
    </row>
    <row r="103" spans="1:10" x14ac:dyDescent="0.35">
      <c r="A103" t="s">
        <v>9</v>
      </c>
      <c r="B103" t="s">
        <v>125</v>
      </c>
      <c r="C103" t="s">
        <v>25</v>
      </c>
      <c r="D103" t="s">
        <v>26</v>
      </c>
      <c r="E103" t="s">
        <v>18</v>
      </c>
      <c r="F103" t="s">
        <v>27</v>
      </c>
      <c r="G103" s="1">
        <v>5734</v>
      </c>
      <c r="H103">
        <v>3</v>
      </c>
      <c r="I103" s="1">
        <f>supermarket_sales_new[[#This Row],[Unit price]]*supermarket_sales_new[[#This Row],[Quantity]]*5%</f>
        <v>860.1</v>
      </c>
      <c r="J103" s="1">
        <f>(supermarket_sales_new[[#This Row],[Unit price]]*supermarket_sales_new[[#This Row],[Quantity]])+supermarket_sales_new[[#This Row],[Tax 5%]]</f>
        <v>18062.099999999999</v>
      </c>
    </row>
    <row r="104" spans="1:10" x14ac:dyDescent="0.35">
      <c r="A104" t="s">
        <v>9</v>
      </c>
      <c r="B104" t="s">
        <v>126</v>
      </c>
      <c r="C104" t="s">
        <v>16</v>
      </c>
      <c r="D104" t="s">
        <v>17</v>
      </c>
      <c r="E104" t="s">
        <v>13</v>
      </c>
      <c r="F104" t="s">
        <v>29</v>
      </c>
      <c r="G104" s="1">
        <v>1254</v>
      </c>
      <c r="H104">
        <v>1</v>
      </c>
      <c r="I104" s="1">
        <f>supermarket_sales_new[[#This Row],[Unit price]]*supermarket_sales_new[[#This Row],[Quantity]]*5%</f>
        <v>62.7</v>
      </c>
      <c r="J104" s="1">
        <f>(supermarket_sales_new[[#This Row],[Unit price]]*supermarket_sales_new[[#This Row],[Quantity]])+supermarket_sales_new[[#This Row],[Tax 5%]]</f>
        <v>1316.7</v>
      </c>
    </row>
    <row r="105" spans="1:10" x14ac:dyDescent="0.35">
      <c r="A105" t="s">
        <v>9</v>
      </c>
      <c r="B105" t="s">
        <v>127</v>
      </c>
      <c r="C105" t="s">
        <v>16</v>
      </c>
      <c r="D105" t="s">
        <v>17</v>
      </c>
      <c r="E105" t="s">
        <v>13</v>
      </c>
      <c r="F105" t="s">
        <v>33</v>
      </c>
      <c r="G105" s="1">
        <v>8716</v>
      </c>
      <c r="H105">
        <v>2</v>
      </c>
      <c r="I105" s="1">
        <f>supermarket_sales_new[[#This Row],[Unit price]]*supermarket_sales_new[[#This Row],[Quantity]]*5%</f>
        <v>871.6</v>
      </c>
      <c r="J105" s="1">
        <f>(supermarket_sales_new[[#This Row],[Unit price]]*supermarket_sales_new[[#This Row],[Quantity]])+supermarket_sales_new[[#This Row],[Tax 5%]]</f>
        <v>18303.599999999999</v>
      </c>
    </row>
    <row r="106" spans="1:10" x14ac:dyDescent="0.35">
      <c r="A106" t="s">
        <v>9</v>
      </c>
      <c r="B106" t="s">
        <v>128</v>
      </c>
      <c r="C106" t="s">
        <v>25</v>
      </c>
      <c r="D106" t="s">
        <v>26</v>
      </c>
      <c r="E106" t="s">
        <v>13</v>
      </c>
      <c r="F106" t="s">
        <v>19</v>
      </c>
      <c r="G106" s="1">
        <v>907</v>
      </c>
      <c r="H106">
        <v>6</v>
      </c>
      <c r="I106" s="1">
        <f>supermarket_sales_new[[#This Row],[Unit price]]*supermarket_sales_new[[#This Row],[Quantity]]*5%</f>
        <v>272.10000000000002</v>
      </c>
      <c r="J106" s="1">
        <f>(supermarket_sales_new[[#This Row],[Unit price]]*supermarket_sales_new[[#This Row],[Quantity]])+supermarket_sales_new[[#This Row],[Tax 5%]]</f>
        <v>5714.1</v>
      </c>
    </row>
    <row r="107" spans="1:10" x14ac:dyDescent="0.35">
      <c r="A107" t="s">
        <v>9</v>
      </c>
      <c r="B107" t="s">
        <v>129</v>
      </c>
      <c r="C107" t="s">
        <v>11</v>
      </c>
      <c r="D107" t="s">
        <v>12</v>
      </c>
      <c r="E107" t="s">
        <v>18</v>
      </c>
      <c r="F107" t="s">
        <v>22</v>
      </c>
      <c r="G107" s="1">
        <v>6342</v>
      </c>
      <c r="H107">
        <v>8</v>
      </c>
      <c r="I107" s="1">
        <f>supermarket_sales_new[[#This Row],[Unit price]]*supermarket_sales_new[[#This Row],[Quantity]]*5%</f>
        <v>2536.8000000000002</v>
      </c>
      <c r="J107" s="1">
        <f>(supermarket_sales_new[[#This Row],[Unit price]]*supermarket_sales_new[[#This Row],[Quantity]])+supermarket_sales_new[[#This Row],[Tax 5%]]</f>
        <v>53272.800000000003</v>
      </c>
    </row>
    <row r="108" spans="1:10" x14ac:dyDescent="0.35">
      <c r="A108" t="s">
        <v>9</v>
      </c>
      <c r="B108" t="s">
        <v>130</v>
      </c>
      <c r="C108" t="s">
        <v>25</v>
      </c>
      <c r="D108" t="s">
        <v>26</v>
      </c>
      <c r="E108" t="s">
        <v>18</v>
      </c>
      <c r="F108" t="s">
        <v>29</v>
      </c>
      <c r="G108" s="1">
        <v>8137</v>
      </c>
      <c r="H108">
        <v>2</v>
      </c>
      <c r="I108" s="1">
        <f>supermarket_sales_new[[#This Row],[Unit price]]*supermarket_sales_new[[#This Row],[Quantity]]*5%</f>
        <v>813.7</v>
      </c>
      <c r="J108" s="1">
        <f>(supermarket_sales_new[[#This Row],[Unit price]]*supermarket_sales_new[[#This Row],[Quantity]])+supermarket_sales_new[[#This Row],[Tax 5%]]</f>
        <v>17087.7</v>
      </c>
    </row>
    <row r="109" spans="1:10" x14ac:dyDescent="0.35">
      <c r="A109" t="s">
        <v>9</v>
      </c>
      <c r="B109" t="s">
        <v>131</v>
      </c>
      <c r="C109" t="s">
        <v>25</v>
      </c>
      <c r="D109" t="s">
        <v>26</v>
      </c>
      <c r="E109" t="s">
        <v>13</v>
      </c>
      <c r="F109" t="s">
        <v>19</v>
      </c>
      <c r="G109" s="1">
        <v>1059</v>
      </c>
      <c r="H109">
        <v>3</v>
      </c>
      <c r="I109" s="1">
        <f>supermarket_sales_new[[#This Row],[Unit price]]*supermarket_sales_new[[#This Row],[Quantity]]*5%</f>
        <v>158.85000000000002</v>
      </c>
      <c r="J109" s="1">
        <f>(supermarket_sales_new[[#This Row],[Unit price]]*supermarket_sales_new[[#This Row],[Quantity]])+supermarket_sales_new[[#This Row],[Tax 5%]]</f>
        <v>3335.85</v>
      </c>
    </row>
    <row r="110" spans="1:10" x14ac:dyDescent="0.35">
      <c r="A110" t="s">
        <v>9</v>
      </c>
      <c r="B110" t="s">
        <v>132</v>
      </c>
      <c r="C110" t="s">
        <v>25</v>
      </c>
      <c r="D110" t="s">
        <v>26</v>
      </c>
      <c r="E110" t="s">
        <v>18</v>
      </c>
      <c r="F110" t="s">
        <v>14</v>
      </c>
      <c r="G110" s="1">
        <v>8409</v>
      </c>
      <c r="H110">
        <v>9</v>
      </c>
      <c r="I110" s="1">
        <f>supermarket_sales_new[[#This Row],[Unit price]]*supermarket_sales_new[[#This Row],[Quantity]]*5%</f>
        <v>3784.05</v>
      </c>
      <c r="J110" s="1">
        <f>(supermarket_sales_new[[#This Row],[Unit price]]*supermarket_sales_new[[#This Row],[Quantity]])+supermarket_sales_new[[#This Row],[Tax 5%]]</f>
        <v>79465.05</v>
      </c>
    </row>
    <row r="111" spans="1:10" x14ac:dyDescent="0.35">
      <c r="A111" t="s">
        <v>9</v>
      </c>
      <c r="B111" t="s">
        <v>133</v>
      </c>
      <c r="C111" t="s">
        <v>11</v>
      </c>
      <c r="D111" t="s">
        <v>12</v>
      </c>
      <c r="E111" t="s">
        <v>18</v>
      </c>
      <c r="F111" t="s">
        <v>33</v>
      </c>
      <c r="G111" s="1">
        <v>9314</v>
      </c>
      <c r="H111">
        <v>2</v>
      </c>
      <c r="I111" s="1">
        <f>supermarket_sales_new[[#This Row],[Unit price]]*supermarket_sales_new[[#This Row],[Quantity]]*5%</f>
        <v>931.40000000000009</v>
      </c>
      <c r="J111" s="1">
        <f>(supermarket_sales_new[[#This Row],[Unit price]]*supermarket_sales_new[[#This Row],[Quantity]])+supermarket_sales_new[[#This Row],[Tax 5%]]</f>
        <v>19559.400000000001</v>
      </c>
    </row>
    <row r="112" spans="1:10" x14ac:dyDescent="0.35">
      <c r="A112" t="s">
        <v>9</v>
      </c>
      <c r="B112" t="s">
        <v>134</v>
      </c>
      <c r="C112" t="s">
        <v>16</v>
      </c>
      <c r="D112" t="s">
        <v>17</v>
      </c>
      <c r="E112" t="s">
        <v>13</v>
      </c>
      <c r="F112" t="s">
        <v>29</v>
      </c>
      <c r="G112" s="1">
        <v>4422</v>
      </c>
      <c r="H112">
        <v>5</v>
      </c>
      <c r="I112" s="1">
        <f>supermarket_sales_new[[#This Row],[Unit price]]*supermarket_sales_new[[#This Row],[Quantity]]*5%</f>
        <v>1105.5</v>
      </c>
      <c r="J112" s="1">
        <f>(supermarket_sales_new[[#This Row],[Unit price]]*supermarket_sales_new[[#This Row],[Quantity]])+supermarket_sales_new[[#This Row],[Tax 5%]]</f>
        <v>23215.5</v>
      </c>
    </row>
    <row r="113" spans="1:10" x14ac:dyDescent="0.35">
      <c r="A113" t="s">
        <v>9</v>
      </c>
      <c r="B113" t="s">
        <v>135</v>
      </c>
      <c r="C113" t="s">
        <v>25</v>
      </c>
      <c r="D113" t="s">
        <v>26</v>
      </c>
      <c r="E113" t="s">
        <v>13</v>
      </c>
      <c r="F113" t="s">
        <v>19</v>
      </c>
      <c r="G113" s="1">
        <v>1322</v>
      </c>
      <c r="H113">
        <v>5</v>
      </c>
      <c r="I113" s="1">
        <f>supermarket_sales_new[[#This Row],[Unit price]]*supermarket_sales_new[[#This Row],[Quantity]]*5%</f>
        <v>330.5</v>
      </c>
      <c r="J113" s="1">
        <f>(supermarket_sales_new[[#This Row],[Unit price]]*supermarket_sales_new[[#This Row],[Quantity]])+supermarket_sales_new[[#This Row],[Tax 5%]]</f>
        <v>6940.5</v>
      </c>
    </row>
    <row r="114" spans="1:10" x14ac:dyDescent="0.35">
      <c r="A114" t="s">
        <v>9</v>
      </c>
      <c r="B114" t="s">
        <v>136</v>
      </c>
      <c r="C114" t="s">
        <v>25</v>
      </c>
      <c r="D114" t="s">
        <v>26</v>
      </c>
      <c r="E114" t="s">
        <v>13</v>
      </c>
      <c r="F114" t="s">
        <v>19</v>
      </c>
      <c r="G114" s="1">
        <v>814</v>
      </c>
      <c r="H114">
        <v>3</v>
      </c>
      <c r="I114" s="1">
        <f>supermarket_sales_new[[#This Row],[Unit price]]*supermarket_sales_new[[#This Row],[Quantity]]*5%</f>
        <v>122.10000000000001</v>
      </c>
      <c r="J114" s="1">
        <f>(supermarket_sales_new[[#This Row],[Unit price]]*supermarket_sales_new[[#This Row],[Quantity]])+supermarket_sales_new[[#This Row],[Tax 5%]]</f>
        <v>2564.1</v>
      </c>
    </row>
    <row r="115" spans="1:10" x14ac:dyDescent="0.35">
      <c r="A115" t="s">
        <v>9</v>
      </c>
      <c r="B115" t="s">
        <v>137</v>
      </c>
      <c r="C115" t="s">
        <v>16</v>
      </c>
      <c r="D115" t="s">
        <v>17</v>
      </c>
      <c r="E115" t="s">
        <v>18</v>
      </c>
      <c r="F115" t="s">
        <v>33</v>
      </c>
      <c r="G115" s="1">
        <v>1439</v>
      </c>
      <c r="H115">
        <v>2</v>
      </c>
      <c r="I115" s="1">
        <f>supermarket_sales_new[[#This Row],[Unit price]]*supermarket_sales_new[[#This Row],[Quantity]]*5%</f>
        <v>143.9</v>
      </c>
      <c r="J115" s="1">
        <f>(supermarket_sales_new[[#This Row],[Unit price]]*supermarket_sales_new[[#This Row],[Quantity]])+supermarket_sales_new[[#This Row],[Tax 5%]]</f>
        <v>3021.9</v>
      </c>
    </row>
    <row r="116" spans="1:10" x14ac:dyDescent="0.35">
      <c r="A116" t="s">
        <v>9</v>
      </c>
      <c r="B116" t="s">
        <v>138</v>
      </c>
      <c r="C116" t="s">
        <v>11</v>
      </c>
      <c r="D116" t="s">
        <v>12</v>
      </c>
      <c r="E116" t="s">
        <v>18</v>
      </c>
      <c r="F116" t="s">
        <v>19</v>
      </c>
      <c r="G116" s="1">
        <v>7506</v>
      </c>
      <c r="H116">
        <v>9</v>
      </c>
      <c r="I116" s="1">
        <f>supermarket_sales_new[[#This Row],[Unit price]]*supermarket_sales_new[[#This Row],[Quantity]]*5%</f>
        <v>3377.7000000000003</v>
      </c>
      <c r="J116" s="1">
        <f>(supermarket_sales_new[[#This Row],[Unit price]]*supermarket_sales_new[[#This Row],[Quantity]])+supermarket_sales_new[[#This Row],[Tax 5%]]</f>
        <v>70931.7</v>
      </c>
    </row>
    <row r="117" spans="1:10" x14ac:dyDescent="0.35">
      <c r="A117" t="s">
        <v>9</v>
      </c>
      <c r="B117" t="s">
        <v>139</v>
      </c>
      <c r="C117" t="s">
        <v>16</v>
      </c>
      <c r="D117" t="s">
        <v>17</v>
      </c>
      <c r="E117" t="s">
        <v>18</v>
      </c>
      <c r="F117" t="s">
        <v>29</v>
      </c>
      <c r="G117" s="1">
        <v>1645</v>
      </c>
      <c r="H117">
        <v>4</v>
      </c>
      <c r="I117" s="1">
        <f>supermarket_sales_new[[#This Row],[Unit price]]*supermarket_sales_new[[#This Row],[Quantity]]*5%</f>
        <v>329</v>
      </c>
      <c r="J117" s="1">
        <f>(supermarket_sales_new[[#This Row],[Unit price]]*supermarket_sales_new[[#This Row],[Quantity]])+supermarket_sales_new[[#This Row],[Tax 5%]]</f>
        <v>6909</v>
      </c>
    </row>
    <row r="118" spans="1:10" x14ac:dyDescent="0.35">
      <c r="A118" t="s">
        <v>9</v>
      </c>
      <c r="B118" t="s">
        <v>140</v>
      </c>
      <c r="C118" t="s">
        <v>25</v>
      </c>
      <c r="D118" t="s">
        <v>26</v>
      </c>
      <c r="E118" t="s">
        <v>13</v>
      </c>
      <c r="F118" t="s">
        <v>29</v>
      </c>
      <c r="G118" s="1">
        <v>383</v>
      </c>
      <c r="H118">
        <v>4</v>
      </c>
      <c r="I118" s="1">
        <f>supermarket_sales_new[[#This Row],[Unit price]]*supermarket_sales_new[[#This Row],[Quantity]]*5%</f>
        <v>76.600000000000009</v>
      </c>
      <c r="J118" s="1">
        <f>(supermarket_sales_new[[#This Row],[Unit price]]*supermarket_sales_new[[#This Row],[Quantity]])+supermarket_sales_new[[#This Row],[Tax 5%]]</f>
        <v>1608.6</v>
      </c>
    </row>
    <row r="119" spans="1:10" x14ac:dyDescent="0.35">
      <c r="A119" t="s">
        <v>9</v>
      </c>
      <c r="B119" t="s">
        <v>141</v>
      </c>
      <c r="C119" t="s">
        <v>11</v>
      </c>
      <c r="D119" t="s">
        <v>12</v>
      </c>
      <c r="E119" t="s">
        <v>13</v>
      </c>
      <c r="F119" t="s">
        <v>33</v>
      </c>
      <c r="G119" s="1">
        <v>2224</v>
      </c>
      <c r="H119">
        <v>10</v>
      </c>
      <c r="I119" s="1">
        <f>supermarket_sales_new[[#This Row],[Unit price]]*supermarket_sales_new[[#This Row],[Quantity]]*5%</f>
        <v>1112</v>
      </c>
      <c r="J119" s="1">
        <f>(supermarket_sales_new[[#This Row],[Unit price]]*supermarket_sales_new[[#This Row],[Quantity]])+supermarket_sales_new[[#This Row],[Tax 5%]]</f>
        <v>23352</v>
      </c>
    </row>
    <row r="120" spans="1:10" x14ac:dyDescent="0.35">
      <c r="A120" t="s">
        <v>9</v>
      </c>
      <c r="B120" t="s">
        <v>142</v>
      </c>
      <c r="C120" t="s">
        <v>11</v>
      </c>
      <c r="D120" t="s">
        <v>12</v>
      </c>
      <c r="E120" t="s">
        <v>13</v>
      </c>
      <c r="F120" t="s">
        <v>33</v>
      </c>
      <c r="G120" s="1">
        <v>984</v>
      </c>
      <c r="H120">
        <v>7</v>
      </c>
      <c r="I120" s="1">
        <f>supermarket_sales_new[[#This Row],[Unit price]]*supermarket_sales_new[[#This Row],[Quantity]]*5%</f>
        <v>344.40000000000003</v>
      </c>
      <c r="J120" s="1">
        <f>(supermarket_sales_new[[#This Row],[Unit price]]*supermarket_sales_new[[#This Row],[Quantity]])+supermarket_sales_new[[#This Row],[Tax 5%]]</f>
        <v>7232.4</v>
      </c>
    </row>
    <row r="121" spans="1:10" x14ac:dyDescent="0.35">
      <c r="A121" t="s">
        <v>9</v>
      </c>
      <c r="B121" t="s">
        <v>143</v>
      </c>
      <c r="C121" t="s">
        <v>25</v>
      </c>
      <c r="D121" t="s">
        <v>26</v>
      </c>
      <c r="E121" t="s">
        <v>13</v>
      </c>
      <c r="F121" t="s">
        <v>27</v>
      </c>
      <c r="G121" s="1">
        <v>746</v>
      </c>
      <c r="H121">
        <v>10</v>
      </c>
      <c r="I121" s="1">
        <f>supermarket_sales_new[[#This Row],[Unit price]]*supermarket_sales_new[[#This Row],[Quantity]]*5%</f>
        <v>373</v>
      </c>
      <c r="J121" s="1">
        <f>(supermarket_sales_new[[#This Row],[Unit price]]*supermarket_sales_new[[#This Row],[Quantity]])+supermarket_sales_new[[#This Row],[Tax 5%]]</f>
        <v>7833</v>
      </c>
    </row>
    <row r="122" spans="1:10" x14ac:dyDescent="0.35">
      <c r="A122" t="s">
        <v>9</v>
      </c>
      <c r="B122" t="s">
        <v>144</v>
      </c>
      <c r="C122" t="s">
        <v>11</v>
      </c>
      <c r="D122" t="s">
        <v>12</v>
      </c>
      <c r="E122" t="s">
        <v>13</v>
      </c>
      <c r="F122" t="s">
        <v>22</v>
      </c>
      <c r="G122" s="1">
        <v>3554</v>
      </c>
      <c r="H122">
        <v>10</v>
      </c>
      <c r="I122" s="1">
        <f>supermarket_sales_new[[#This Row],[Unit price]]*supermarket_sales_new[[#This Row],[Quantity]]*5%</f>
        <v>1777</v>
      </c>
      <c r="J122" s="1">
        <f>(supermarket_sales_new[[#This Row],[Unit price]]*supermarket_sales_new[[#This Row],[Quantity]])+supermarket_sales_new[[#This Row],[Tax 5%]]</f>
        <v>37317</v>
      </c>
    </row>
    <row r="123" spans="1:10" x14ac:dyDescent="0.35">
      <c r="A123" t="s">
        <v>9</v>
      </c>
      <c r="B123" t="s">
        <v>145</v>
      </c>
      <c r="C123" t="s">
        <v>25</v>
      </c>
      <c r="D123" t="s">
        <v>26</v>
      </c>
      <c r="E123" t="s">
        <v>18</v>
      </c>
      <c r="F123" t="s">
        <v>33</v>
      </c>
      <c r="G123" s="1">
        <v>6743</v>
      </c>
      <c r="H123">
        <v>5</v>
      </c>
      <c r="I123" s="1">
        <f>supermarket_sales_new[[#This Row],[Unit price]]*supermarket_sales_new[[#This Row],[Quantity]]*5%</f>
        <v>1685.75</v>
      </c>
      <c r="J123" s="1">
        <f>(supermarket_sales_new[[#This Row],[Unit price]]*supermarket_sales_new[[#This Row],[Quantity]])+supermarket_sales_new[[#This Row],[Tax 5%]]</f>
        <v>35400.75</v>
      </c>
    </row>
    <row r="124" spans="1:10" x14ac:dyDescent="0.35">
      <c r="A124" t="s">
        <v>9</v>
      </c>
      <c r="B124" t="s">
        <v>146</v>
      </c>
      <c r="C124" t="s">
        <v>16</v>
      </c>
      <c r="D124" t="s">
        <v>17</v>
      </c>
      <c r="E124" t="s">
        <v>13</v>
      </c>
      <c r="F124" t="s">
        <v>14</v>
      </c>
      <c r="G124" s="1">
        <v>2112</v>
      </c>
      <c r="H124">
        <v>2</v>
      </c>
      <c r="I124" s="1">
        <f>supermarket_sales_new[[#This Row],[Unit price]]*supermarket_sales_new[[#This Row],[Quantity]]*5%</f>
        <v>211.20000000000002</v>
      </c>
      <c r="J124" s="1">
        <f>(supermarket_sales_new[[#This Row],[Unit price]]*supermarket_sales_new[[#This Row],[Quantity]])+supermarket_sales_new[[#This Row],[Tax 5%]]</f>
        <v>4435.2</v>
      </c>
    </row>
    <row r="125" spans="1:10" x14ac:dyDescent="0.35">
      <c r="A125" t="s">
        <v>9</v>
      </c>
      <c r="B125" t="s">
        <v>147</v>
      </c>
      <c r="C125" t="s">
        <v>11</v>
      </c>
      <c r="D125" t="s">
        <v>12</v>
      </c>
      <c r="E125" t="s">
        <v>13</v>
      </c>
      <c r="F125" t="s">
        <v>22</v>
      </c>
      <c r="G125" s="1">
        <v>2154</v>
      </c>
      <c r="H125">
        <v>9</v>
      </c>
      <c r="I125" s="1">
        <f>supermarket_sales_new[[#This Row],[Unit price]]*supermarket_sales_new[[#This Row],[Quantity]]*5%</f>
        <v>969.30000000000007</v>
      </c>
      <c r="J125" s="1">
        <f>(supermarket_sales_new[[#This Row],[Unit price]]*supermarket_sales_new[[#This Row],[Quantity]])+supermarket_sales_new[[#This Row],[Tax 5%]]</f>
        <v>20355.3</v>
      </c>
    </row>
    <row r="126" spans="1:10" x14ac:dyDescent="0.35">
      <c r="A126" t="s">
        <v>9</v>
      </c>
      <c r="B126" t="s">
        <v>148</v>
      </c>
      <c r="C126" t="s">
        <v>11</v>
      </c>
      <c r="D126" t="s">
        <v>12</v>
      </c>
      <c r="E126" t="s">
        <v>18</v>
      </c>
      <c r="F126" t="s">
        <v>22</v>
      </c>
      <c r="G126" s="1">
        <v>1203</v>
      </c>
      <c r="H126">
        <v>2</v>
      </c>
      <c r="I126" s="1">
        <f>supermarket_sales_new[[#This Row],[Unit price]]*supermarket_sales_new[[#This Row],[Quantity]]*5%</f>
        <v>120.30000000000001</v>
      </c>
      <c r="J126" s="1">
        <f>(supermarket_sales_new[[#This Row],[Unit price]]*supermarket_sales_new[[#This Row],[Quantity]])+supermarket_sales_new[[#This Row],[Tax 5%]]</f>
        <v>2526.3000000000002</v>
      </c>
    </row>
    <row r="127" spans="1:10" x14ac:dyDescent="0.35">
      <c r="A127" t="s">
        <v>9</v>
      </c>
      <c r="B127" t="s">
        <v>149</v>
      </c>
      <c r="C127" t="s">
        <v>25</v>
      </c>
      <c r="D127" t="s">
        <v>26</v>
      </c>
      <c r="E127" t="s">
        <v>18</v>
      </c>
      <c r="F127" t="s">
        <v>14</v>
      </c>
      <c r="G127" s="1">
        <v>9971</v>
      </c>
      <c r="H127">
        <v>6</v>
      </c>
      <c r="I127" s="1">
        <f>supermarket_sales_new[[#This Row],[Unit price]]*supermarket_sales_new[[#This Row],[Quantity]]*5%</f>
        <v>2991.3</v>
      </c>
      <c r="J127" s="1">
        <f>(supermarket_sales_new[[#This Row],[Unit price]]*supermarket_sales_new[[#This Row],[Quantity]])+supermarket_sales_new[[#This Row],[Tax 5%]]</f>
        <v>62817.3</v>
      </c>
    </row>
    <row r="128" spans="1:10" x14ac:dyDescent="0.35">
      <c r="A128" t="s">
        <v>9</v>
      </c>
      <c r="B128" t="s">
        <v>150</v>
      </c>
      <c r="C128" t="s">
        <v>16</v>
      </c>
      <c r="D128" t="s">
        <v>17</v>
      </c>
      <c r="E128" t="s">
        <v>13</v>
      </c>
      <c r="F128" t="s">
        <v>22</v>
      </c>
      <c r="G128" s="1">
        <v>2182</v>
      </c>
      <c r="H128">
        <v>10</v>
      </c>
      <c r="I128" s="1">
        <f>supermarket_sales_new[[#This Row],[Unit price]]*supermarket_sales_new[[#This Row],[Quantity]]*5%</f>
        <v>1091</v>
      </c>
      <c r="J128" s="1">
        <f>(supermarket_sales_new[[#This Row],[Unit price]]*supermarket_sales_new[[#This Row],[Quantity]])+supermarket_sales_new[[#This Row],[Tax 5%]]</f>
        <v>22911</v>
      </c>
    </row>
    <row r="129" spans="1:10" x14ac:dyDescent="0.35">
      <c r="A129" t="s">
        <v>9</v>
      </c>
      <c r="B129" t="s">
        <v>151</v>
      </c>
      <c r="C129" t="s">
        <v>16</v>
      </c>
      <c r="D129" t="s">
        <v>17</v>
      </c>
      <c r="E129" t="s">
        <v>18</v>
      </c>
      <c r="F129" t="s">
        <v>29</v>
      </c>
      <c r="G129" s="1">
        <v>9542</v>
      </c>
      <c r="H129">
        <v>4</v>
      </c>
      <c r="I129" s="1">
        <f>supermarket_sales_new[[#This Row],[Unit price]]*supermarket_sales_new[[#This Row],[Quantity]]*5%</f>
        <v>1908.4</v>
      </c>
      <c r="J129" s="1">
        <f>(supermarket_sales_new[[#This Row],[Unit price]]*supermarket_sales_new[[#This Row],[Quantity]])+supermarket_sales_new[[#This Row],[Tax 5%]]</f>
        <v>40076.400000000001</v>
      </c>
    </row>
    <row r="130" spans="1:10" x14ac:dyDescent="0.35">
      <c r="A130" t="s">
        <v>9</v>
      </c>
      <c r="B130" t="s">
        <v>152</v>
      </c>
      <c r="C130" t="s">
        <v>11</v>
      </c>
      <c r="D130" t="s">
        <v>12</v>
      </c>
      <c r="E130" t="s">
        <v>18</v>
      </c>
      <c r="F130" t="s">
        <v>22</v>
      </c>
      <c r="G130" s="1">
        <v>6996</v>
      </c>
      <c r="H130">
        <v>8</v>
      </c>
      <c r="I130" s="1">
        <f>supermarket_sales_new[[#This Row],[Unit price]]*supermarket_sales_new[[#This Row],[Quantity]]*5%</f>
        <v>2798.4</v>
      </c>
      <c r="J130" s="1">
        <f>(supermarket_sales_new[[#This Row],[Unit price]]*supermarket_sales_new[[#This Row],[Quantity]])+supermarket_sales_new[[#This Row],[Tax 5%]]</f>
        <v>58766.400000000001</v>
      </c>
    </row>
    <row r="131" spans="1:10" x14ac:dyDescent="0.35">
      <c r="A131" t="s">
        <v>9</v>
      </c>
      <c r="B131" t="s">
        <v>153</v>
      </c>
      <c r="C131" t="s">
        <v>11</v>
      </c>
      <c r="D131" t="s">
        <v>12</v>
      </c>
      <c r="E131" t="s">
        <v>18</v>
      </c>
      <c r="F131" t="s">
        <v>33</v>
      </c>
      <c r="G131" s="1">
        <v>1534</v>
      </c>
      <c r="H131">
        <v>1</v>
      </c>
      <c r="I131" s="1">
        <f>supermarket_sales_new[[#This Row],[Unit price]]*supermarket_sales_new[[#This Row],[Quantity]]*5%</f>
        <v>76.7</v>
      </c>
      <c r="J131" s="1">
        <f>(supermarket_sales_new[[#This Row],[Unit price]]*supermarket_sales_new[[#This Row],[Quantity]])+supermarket_sales_new[[#This Row],[Tax 5%]]</f>
        <v>1610.7</v>
      </c>
    </row>
    <row r="132" spans="1:10" x14ac:dyDescent="0.35">
      <c r="A132" t="s">
        <v>9</v>
      </c>
      <c r="B132" t="s">
        <v>154</v>
      </c>
      <c r="C132" t="s">
        <v>11</v>
      </c>
      <c r="D132" t="s">
        <v>12</v>
      </c>
      <c r="E132" t="s">
        <v>13</v>
      </c>
      <c r="F132" t="s">
        <v>14</v>
      </c>
      <c r="G132" s="1">
        <v>4767</v>
      </c>
      <c r="H132">
        <v>4</v>
      </c>
      <c r="I132" s="1">
        <f>supermarket_sales_new[[#This Row],[Unit price]]*supermarket_sales_new[[#This Row],[Quantity]]*5%</f>
        <v>953.40000000000009</v>
      </c>
      <c r="J132" s="1">
        <f>(supermarket_sales_new[[#This Row],[Unit price]]*supermarket_sales_new[[#This Row],[Quantity]])+supermarket_sales_new[[#This Row],[Tax 5%]]</f>
        <v>20021.400000000001</v>
      </c>
    </row>
    <row r="133" spans="1:10" x14ac:dyDescent="0.35">
      <c r="A133" t="s">
        <v>9</v>
      </c>
      <c r="B133" t="s">
        <v>155</v>
      </c>
      <c r="C133" t="s">
        <v>16</v>
      </c>
      <c r="D133" t="s">
        <v>17</v>
      </c>
      <c r="E133" t="s">
        <v>18</v>
      </c>
      <c r="F133" t="s">
        <v>33</v>
      </c>
      <c r="G133" s="1">
        <v>2375</v>
      </c>
      <c r="H133">
        <v>9</v>
      </c>
      <c r="I133" s="1">
        <f>supermarket_sales_new[[#This Row],[Unit price]]*supermarket_sales_new[[#This Row],[Quantity]]*5%</f>
        <v>1068.75</v>
      </c>
      <c r="J133" s="1">
        <f>(supermarket_sales_new[[#This Row],[Unit price]]*supermarket_sales_new[[#This Row],[Quantity]])+supermarket_sales_new[[#This Row],[Tax 5%]]</f>
        <v>22443.75</v>
      </c>
    </row>
    <row r="134" spans="1:10" x14ac:dyDescent="0.35">
      <c r="A134" t="s">
        <v>9</v>
      </c>
      <c r="B134" t="s">
        <v>156</v>
      </c>
      <c r="C134" t="s">
        <v>25</v>
      </c>
      <c r="D134" t="s">
        <v>26</v>
      </c>
      <c r="E134" t="s">
        <v>18</v>
      </c>
      <c r="F134" t="s">
        <v>27</v>
      </c>
      <c r="G134" s="1">
        <v>4851</v>
      </c>
      <c r="H134">
        <v>7</v>
      </c>
      <c r="I134" s="1">
        <f>supermarket_sales_new[[#This Row],[Unit price]]*supermarket_sales_new[[#This Row],[Quantity]]*5%</f>
        <v>1697.8500000000001</v>
      </c>
      <c r="J134" s="1">
        <f>(supermarket_sales_new[[#This Row],[Unit price]]*supermarket_sales_new[[#This Row],[Quantity]])+supermarket_sales_new[[#This Row],[Tax 5%]]</f>
        <v>35654.85</v>
      </c>
    </row>
    <row r="135" spans="1:10" x14ac:dyDescent="0.35">
      <c r="A135" t="s">
        <v>9</v>
      </c>
      <c r="B135" t="s">
        <v>157</v>
      </c>
      <c r="C135" t="s">
        <v>11</v>
      </c>
      <c r="D135" t="s">
        <v>12</v>
      </c>
      <c r="E135" t="s">
        <v>13</v>
      </c>
      <c r="F135" t="s">
        <v>22</v>
      </c>
      <c r="G135" s="1">
        <v>9488</v>
      </c>
      <c r="H135">
        <v>7</v>
      </c>
      <c r="I135" s="1">
        <f>supermarket_sales_new[[#This Row],[Unit price]]*supermarket_sales_new[[#This Row],[Quantity]]*5%</f>
        <v>3320.8</v>
      </c>
      <c r="J135" s="1">
        <f>(supermarket_sales_new[[#This Row],[Unit price]]*supermarket_sales_new[[#This Row],[Quantity]])+supermarket_sales_new[[#This Row],[Tax 5%]]</f>
        <v>69736.800000000003</v>
      </c>
    </row>
    <row r="136" spans="1:10" x14ac:dyDescent="0.35">
      <c r="A136" t="s">
        <v>9</v>
      </c>
      <c r="B136" t="s">
        <v>158</v>
      </c>
      <c r="C136" t="s">
        <v>11</v>
      </c>
      <c r="D136" t="s">
        <v>12</v>
      </c>
      <c r="E136" t="s">
        <v>13</v>
      </c>
      <c r="F136" t="s">
        <v>19</v>
      </c>
      <c r="G136" s="1">
        <v>6248</v>
      </c>
      <c r="H136">
        <v>1</v>
      </c>
      <c r="I136" s="1">
        <f>supermarket_sales_new[[#This Row],[Unit price]]*supermarket_sales_new[[#This Row],[Quantity]]*5%</f>
        <v>312.40000000000003</v>
      </c>
      <c r="J136" s="1">
        <f>(supermarket_sales_new[[#This Row],[Unit price]]*supermarket_sales_new[[#This Row],[Quantity]])+supermarket_sales_new[[#This Row],[Tax 5%]]</f>
        <v>6560.4</v>
      </c>
    </row>
    <row r="137" spans="1:10" x14ac:dyDescent="0.35">
      <c r="A137" t="s">
        <v>9</v>
      </c>
      <c r="B137" t="s">
        <v>159</v>
      </c>
      <c r="C137" t="s">
        <v>11</v>
      </c>
      <c r="D137" t="s">
        <v>12</v>
      </c>
      <c r="E137" t="s">
        <v>13</v>
      </c>
      <c r="F137" t="s">
        <v>27</v>
      </c>
      <c r="G137" s="1">
        <v>3636</v>
      </c>
      <c r="H137">
        <v>2</v>
      </c>
      <c r="I137" s="1">
        <f>supermarket_sales_new[[#This Row],[Unit price]]*supermarket_sales_new[[#This Row],[Quantity]]*5%</f>
        <v>363.6</v>
      </c>
      <c r="J137" s="1">
        <f>(supermarket_sales_new[[#This Row],[Unit price]]*supermarket_sales_new[[#This Row],[Quantity]])+supermarket_sales_new[[#This Row],[Tax 5%]]</f>
        <v>7635.6</v>
      </c>
    </row>
    <row r="138" spans="1:10" x14ac:dyDescent="0.35">
      <c r="A138" t="s">
        <v>9</v>
      </c>
      <c r="B138" t="s">
        <v>160</v>
      </c>
      <c r="C138" t="s">
        <v>16</v>
      </c>
      <c r="D138" t="s">
        <v>17</v>
      </c>
      <c r="E138" t="s">
        <v>13</v>
      </c>
      <c r="F138" t="s">
        <v>19</v>
      </c>
      <c r="G138" s="1">
        <v>5192</v>
      </c>
      <c r="H138">
        <v>5</v>
      </c>
      <c r="I138" s="1">
        <f>supermarket_sales_new[[#This Row],[Unit price]]*supermarket_sales_new[[#This Row],[Quantity]]*5%</f>
        <v>1298</v>
      </c>
      <c r="J138" s="1">
        <f>(supermarket_sales_new[[#This Row],[Unit price]]*supermarket_sales_new[[#This Row],[Quantity]])+supermarket_sales_new[[#This Row],[Tax 5%]]</f>
        <v>27258</v>
      </c>
    </row>
    <row r="139" spans="1:10" x14ac:dyDescent="0.35">
      <c r="A139" t="s">
        <v>9</v>
      </c>
      <c r="B139" t="s">
        <v>161</v>
      </c>
      <c r="C139" t="s">
        <v>16</v>
      </c>
      <c r="D139" t="s">
        <v>17</v>
      </c>
      <c r="E139" t="s">
        <v>13</v>
      </c>
      <c r="F139" t="s">
        <v>22</v>
      </c>
      <c r="G139" s="1">
        <v>8861</v>
      </c>
      <c r="H139">
        <v>1</v>
      </c>
      <c r="I139" s="1">
        <f>supermarket_sales_new[[#This Row],[Unit price]]*supermarket_sales_new[[#This Row],[Quantity]]*5%</f>
        <v>443.05</v>
      </c>
      <c r="J139" s="1">
        <f>(supermarket_sales_new[[#This Row],[Unit price]]*supermarket_sales_new[[#This Row],[Quantity]])+supermarket_sales_new[[#This Row],[Tax 5%]]</f>
        <v>9304.0499999999993</v>
      </c>
    </row>
    <row r="140" spans="1:10" x14ac:dyDescent="0.35">
      <c r="A140" t="s">
        <v>9</v>
      </c>
      <c r="B140" t="s">
        <v>162</v>
      </c>
      <c r="C140" t="s">
        <v>11</v>
      </c>
      <c r="D140" t="s">
        <v>12</v>
      </c>
      <c r="E140" t="s">
        <v>18</v>
      </c>
      <c r="F140" t="s">
        <v>19</v>
      </c>
      <c r="G140" s="1">
        <v>5119</v>
      </c>
      <c r="H140">
        <v>4</v>
      </c>
      <c r="I140" s="1">
        <f>supermarket_sales_new[[#This Row],[Unit price]]*supermarket_sales_new[[#This Row],[Quantity]]*5%</f>
        <v>1023.8000000000001</v>
      </c>
      <c r="J140" s="1">
        <f>(supermarket_sales_new[[#This Row],[Unit price]]*supermarket_sales_new[[#This Row],[Quantity]])+supermarket_sales_new[[#This Row],[Tax 5%]]</f>
        <v>21499.8</v>
      </c>
    </row>
    <row r="141" spans="1:10" x14ac:dyDescent="0.35">
      <c r="A141" t="s">
        <v>9</v>
      </c>
      <c r="B141" t="s">
        <v>163</v>
      </c>
      <c r="C141" t="s">
        <v>25</v>
      </c>
      <c r="D141" t="s">
        <v>26</v>
      </c>
      <c r="E141" t="s">
        <v>18</v>
      </c>
      <c r="F141" t="s">
        <v>19</v>
      </c>
      <c r="G141" s="1">
        <v>1496</v>
      </c>
      <c r="H141">
        <v>8</v>
      </c>
      <c r="I141" s="1">
        <f>supermarket_sales_new[[#This Row],[Unit price]]*supermarket_sales_new[[#This Row],[Quantity]]*5%</f>
        <v>598.4</v>
      </c>
      <c r="J141" s="1">
        <f>(supermarket_sales_new[[#This Row],[Unit price]]*supermarket_sales_new[[#This Row],[Quantity]])+supermarket_sales_new[[#This Row],[Tax 5%]]</f>
        <v>12566.4</v>
      </c>
    </row>
    <row r="142" spans="1:10" x14ac:dyDescent="0.35">
      <c r="A142" t="s">
        <v>9</v>
      </c>
      <c r="B142" t="s">
        <v>164</v>
      </c>
      <c r="C142" t="s">
        <v>11</v>
      </c>
      <c r="D142" t="s">
        <v>12</v>
      </c>
      <c r="E142" t="s">
        <v>18</v>
      </c>
      <c r="F142" t="s">
        <v>33</v>
      </c>
      <c r="G142" s="1">
        <v>4023</v>
      </c>
      <c r="H142">
        <v>7</v>
      </c>
      <c r="I142" s="1">
        <f>supermarket_sales_new[[#This Row],[Unit price]]*supermarket_sales_new[[#This Row],[Quantity]]*5%</f>
        <v>1408.0500000000002</v>
      </c>
      <c r="J142" s="1">
        <f>(supermarket_sales_new[[#This Row],[Unit price]]*supermarket_sales_new[[#This Row],[Quantity]])+supermarket_sales_new[[#This Row],[Tax 5%]]</f>
        <v>29569.05</v>
      </c>
    </row>
    <row r="143" spans="1:10" x14ac:dyDescent="0.35">
      <c r="A143" t="s">
        <v>9</v>
      </c>
      <c r="B143" t="s">
        <v>165</v>
      </c>
      <c r="C143" t="s">
        <v>11</v>
      </c>
      <c r="D143" t="s">
        <v>12</v>
      </c>
      <c r="E143" t="s">
        <v>13</v>
      </c>
      <c r="F143" t="s">
        <v>22</v>
      </c>
      <c r="G143" s="1">
        <v>8879</v>
      </c>
      <c r="H143">
        <v>8</v>
      </c>
      <c r="I143" s="1">
        <f>supermarket_sales_new[[#This Row],[Unit price]]*supermarket_sales_new[[#This Row],[Quantity]]*5%</f>
        <v>3551.6000000000004</v>
      </c>
      <c r="J143" s="1">
        <f>(supermarket_sales_new[[#This Row],[Unit price]]*supermarket_sales_new[[#This Row],[Quantity]])+supermarket_sales_new[[#This Row],[Tax 5%]]</f>
        <v>74583.600000000006</v>
      </c>
    </row>
    <row r="144" spans="1:10" x14ac:dyDescent="0.35">
      <c r="A144" t="s">
        <v>9</v>
      </c>
      <c r="B144" t="s">
        <v>166</v>
      </c>
      <c r="C144" t="s">
        <v>11</v>
      </c>
      <c r="D144" t="s">
        <v>12</v>
      </c>
      <c r="E144" t="s">
        <v>13</v>
      </c>
      <c r="F144" t="s">
        <v>19</v>
      </c>
      <c r="G144" s="1">
        <v>2648</v>
      </c>
      <c r="H144">
        <v>3</v>
      </c>
      <c r="I144" s="1">
        <f>supermarket_sales_new[[#This Row],[Unit price]]*supermarket_sales_new[[#This Row],[Quantity]]*5%</f>
        <v>397.20000000000005</v>
      </c>
      <c r="J144" s="1">
        <f>(supermarket_sales_new[[#This Row],[Unit price]]*supermarket_sales_new[[#This Row],[Quantity]])+supermarket_sales_new[[#This Row],[Tax 5%]]</f>
        <v>8341.2000000000007</v>
      </c>
    </row>
    <row r="145" spans="1:10" x14ac:dyDescent="0.35">
      <c r="A145" t="s">
        <v>9</v>
      </c>
      <c r="B145" t="s">
        <v>167</v>
      </c>
      <c r="C145" t="s">
        <v>11</v>
      </c>
      <c r="D145" t="s">
        <v>12</v>
      </c>
      <c r="E145" t="s">
        <v>18</v>
      </c>
      <c r="F145" t="s">
        <v>29</v>
      </c>
      <c r="G145" s="1">
        <v>8191</v>
      </c>
      <c r="H145">
        <v>2</v>
      </c>
      <c r="I145" s="1">
        <f>supermarket_sales_new[[#This Row],[Unit price]]*supermarket_sales_new[[#This Row],[Quantity]]*5%</f>
        <v>819.1</v>
      </c>
      <c r="J145" s="1">
        <f>(supermarket_sales_new[[#This Row],[Unit price]]*supermarket_sales_new[[#This Row],[Quantity]])+supermarket_sales_new[[#This Row],[Tax 5%]]</f>
        <v>17201.099999999999</v>
      </c>
    </row>
    <row r="146" spans="1:10" x14ac:dyDescent="0.35">
      <c r="A146" t="s">
        <v>9</v>
      </c>
      <c r="B146" t="s">
        <v>168</v>
      </c>
      <c r="C146" t="s">
        <v>11</v>
      </c>
      <c r="D146" t="s">
        <v>12</v>
      </c>
      <c r="E146" t="s">
        <v>13</v>
      </c>
      <c r="F146" t="s">
        <v>27</v>
      </c>
      <c r="G146" s="1">
        <v>1423</v>
      </c>
      <c r="H146">
        <v>5</v>
      </c>
      <c r="I146" s="1">
        <f>supermarket_sales_new[[#This Row],[Unit price]]*supermarket_sales_new[[#This Row],[Quantity]]*5%</f>
        <v>355.75</v>
      </c>
      <c r="J146" s="1">
        <f>(supermarket_sales_new[[#This Row],[Unit price]]*supermarket_sales_new[[#This Row],[Quantity]])+supermarket_sales_new[[#This Row],[Tax 5%]]</f>
        <v>7470.75</v>
      </c>
    </row>
    <row r="147" spans="1:10" x14ac:dyDescent="0.35">
      <c r="A147" t="s">
        <v>9</v>
      </c>
      <c r="B147" t="s">
        <v>169</v>
      </c>
      <c r="C147" t="s">
        <v>11</v>
      </c>
      <c r="D147" t="s">
        <v>12</v>
      </c>
      <c r="E147" t="s">
        <v>13</v>
      </c>
      <c r="F147" t="s">
        <v>14</v>
      </c>
      <c r="G147" s="1">
        <v>1555</v>
      </c>
      <c r="H147">
        <v>9</v>
      </c>
      <c r="I147" s="1">
        <f>supermarket_sales_new[[#This Row],[Unit price]]*supermarket_sales_new[[#This Row],[Quantity]]*5%</f>
        <v>699.75</v>
      </c>
      <c r="J147" s="1">
        <f>(supermarket_sales_new[[#This Row],[Unit price]]*supermarket_sales_new[[#This Row],[Quantity]])+supermarket_sales_new[[#This Row],[Tax 5%]]</f>
        <v>14694.75</v>
      </c>
    </row>
    <row r="148" spans="1:10" x14ac:dyDescent="0.35">
      <c r="A148" t="s">
        <v>9</v>
      </c>
      <c r="B148" t="s">
        <v>170</v>
      </c>
      <c r="C148" t="s">
        <v>16</v>
      </c>
      <c r="D148" t="s">
        <v>17</v>
      </c>
      <c r="E148" t="s">
        <v>13</v>
      </c>
      <c r="F148" t="s">
        <v>19</v>
      </c>
      <c r="G148" s="1">
        <v>7813</v>
      </c>
      <c r="H148">
        <v>10</v>
      </c>
      <c r="I148" s="1">
        <f>supermarket_sales_new[[#This Row],[Unit price]]*supermarket_sales_new[[#This Row],[Quantity]]*5%</f>
        <v>3906.5</v>
      </c>
      <c r="J148" s="1">
        <f>(supermarket_sales_new[[#This Row],[Unit price]]*supermarket_sales_new[[#This Row],[Quantity]])+supermarket_sales_new[[#This Row],[Tax 5%]]</f>
        <v>82036.5</v>
      </c>
    </row>
    <row r="149" spans="1:10" x14ac:dyDescent="0.35">
      <c r="A149" t="s">
        <v>9</v>
      </c>
      <c r="B149" t="s">
        <v>171</v>
      </c>
      <c r="C149" t="s">
        <v>16</v>
      </c>
      <c r="D149" t="s">
        <v>17</v>
      </c>
      <c r="E149" t="s">
        <v>13</v>
      </c>
      <c r="F149" t="s">
        <v>27</v>
      </c>
      <c r="G149" s="1">
        <v>2108</v>
      </c>
      <c r="H149">
        <v>3</v>
      </c>
      <c r="I149" s="1">
        <f>supermarket_sales_new[[#This Row],[Unit price]]*supermarket_sales_new[[#This Row],[Quantity]]*5%</f>
        <v>316.20000000000005</v>
      </c>
      <c r="J149" s="1">
        <f>(supermarket_sales_new[[#This Row],[Unit price]]*supermarket_sales_new[[#This Row],[Quantity]])+supermarket_sales_new[[#This Row],[Tax 5%]]</f>
        <v>6640.2</v>
      </c>
    </row>
    <row r="150" spans="1:10" x14ac:dyDescent="0.35">
      <c r="A150" t="s">
        <v>9</v>
      </c>
      <c r="B150" t="s">
        <v>172</v>
      </c>
      <c r="C150" t="s">
        <v>16</v>
      </c>
      <c r="D150" t="s">
        <v>17</v>
      </c>
      <c r="E150" t="s">
        <v>13</v>
      </c>
      <c r="F150" t="s">
        <v>14</v>
      </c>
      <c r="G150" s="1">
        <v>2967</v>
      </c>
      <c r="H150">
        <v>7</v>
      </c>
      <c r="I150" s="1">
        <f>supermarket_sales_new[[#This Row],[Unit price]]*supermarket_sales_new[[#This Row],[Quantity]]*5%</f>
        <v>1038.45</v>
      </c>
      <c r="J150" s="1">
        <f>(supermarket_sales_new[[#This Row],[Unit price]]*supermarket_sales_new[[#This Row],[Quantity]])+supermarket_sales_new[[#This Row],[Tax 5%]]</f>
        <v>21807.45</v>
      </c>
    </row>
    <row r="151" spans="1:10" x14ac:dyDescent="0.35">
      <c r="A151" t="s">
        <v>9</v>
      </c>
      <c r="B151" t="s">
        <v>173</v>
      </c>
      <c r="C151" t="s">
        <v>16</v>
      </c>
      <c r="D151" t="s">
        <v>17</v>
      </c>
      <c r="E151" t="s">
        <v>18</v>
      </c>
      <c r="F151" t="s">
        <v>27</v>
      </c>
      <c r="G151" s="1">
        <v>2293</v>
      </c>
      <c r="H151">
        <v>9</v>
      </c>
      <c r="I151" s="1">
        <f>supermarket_sales_new[[#This Row],[Unit price]]*supermarket_sales_new[[#This Row],[Quantity]]*5%</f>
        <v>1031.8500000000001</v>
      </c>
      <c r="J151" s="1">
        <f>(supermarket_sales_new[[#This Row],[Unit price]]*supermarket_sales_new[[#This Row],[Quantity]])+supermarket_sales_new[[#This Row],[Tax 5%]]</f>
        <v>21668.85</v>
      </c>
    </row>
    <row r="152" spans="1:10" x14ac:dyDescent="0.35">
      <c r="A152" t="s">
        <v>9</v>
      </c>
      <c r="B152" t="s">
        <v>174</v>
      </c>
      <c r="C152" t="s">
        <v>16</v>
      </c>
      <c r="D152" t="s">
        <v>17</v>
      </c>
      <c r="E152" t="s">
        <v>18</v>
      </c>
      <c r="F152" t="s">
        <v>14</v>
      </c>
      <c r="G152" s="1">
        <v>3942</v>
      </c>
      <c r="H152">
        <v>1</v>
      </c>
      <c r="I152" s="1">
        <f>supermarket_sales_new[[#This Row],[Unit price]]*supermarket_sales_new[[#This Row],[Quantity]]*5%</f>
        <v>197.10000000000002</v>
      </c>
      <c r="J152" s="1">
        <f>(supermarket_sales_new[[#This Row],[Unit price]]*supermarket_sales_new[[#This Row],[Quantity]])+supermarket_sales_new[[#This Row],[Tax 5%]]</f>
        <v>4139.1000000000004</v>
      </c>
    </row>
    <row r="153" spans="1:10" x14ac:dyDescent="0.35">
      <c r="A153" t="s">
        <v>9</v>
      </c>
      <c r="B153" t="s">
        <v>175</v>
      </c>
      <c r="C153" t="s">
        <v>11</v>
      </c>
      <c r="D153" t="s">
        <v>12</v>
      </c>
      <c r="E153" t="s">
        <v>18</v>
      </c>
      <c r="F153" t="s">
        <v>29</v>
      </c>
      <c r="G153" s="1">
        <v>6177</v>
      </c>
      <c r="H153">
        <v>5</v>
      </c>
      <c r="I153" s="1">
        <f>supermarket_sales_new[[#This Row],[Unit price]]*supermarket_sales_new[[#This Row],[Quantity]]*5%</f>
        <v>1544.25</v>
      </c>
      <c r="J153" s="1">
        <f>(supermarket_sales_new[[#This Row],[Unit price]]*supermarket_sales_new[[#This Row],[Quantity]])+supermarket_sales_new[[#This Row],[Tax 5%]]</f>
        <v>32429.25</v>
      </c>
    </row>
    <row r="154" spans="1:10" x14ac:dyDescent="0.35">
      <c r="A154" t="s">
        <v>9</v>
      </c>
      <c r="B154" t="s">
        <v>176</v>
      </c>
      <c r="C154" t="s">
        <v>11</v>
      </c>
      <c r="D154" t="s">
        <v>12</v>
      </c>
      <c r="E154" t="s">
        <v>13</v>
      </c>
      <c r="F154" t="s">
        <v>19</v>
      </c>
      <c r="G154" s="1">
        <v>2845</v>
      </c>
      <c r="H154">
        <v>5</v>
      </c>
      <c r="I154" s="1">
        <f>supermarket_sales_new[[#This Row],[Unit price]]*supermarket_sales_new[[#This Row],[Quantity]]*5%</f>
        <v>711.25</v>
      </c>
      <c r="J154" s="1">
        <f>(supermarket_sales_new[[#This Row],[Unit price]]*supermarket_sales_new[[#This Row],[Quantity]])+supermarket_sales_new[[#This Row],[Tax 5%]]</f>
        <v>14936.25</v>
      </c>
    </row>
    <row r="155" spans="1:10" x14ac:dyDescent="0.35">
      <c r="A155" t="s">
        <v>9</v>
      </c>
      <c r="B155" t="s">
        <v>177</v>
      </c>
      <c r="C155" t="s">
        <v>25</v>
      </c>
      <c r="D155" t="s">
        <v>26</v>
      </c>
      <c r="E155" t="s">
        <v>18</v>
      </c>
      <c r="F155" t="s">
        <v>33</v>
      </c>
      <c r="G155" s="1">
        <v>5795</v>
      </c>
      <c r="H155">
        <v>6</v>
      </c>
      <c r="I155" s="1">
        <f>supermarket_sales_new[[#This Row],[Unit price]]*supermarket_sales_new[[#This Row],[Quantity]]*5%</f>
        <v>1738.5</v>
      </c>
      <c r="J155" s="1">
        <f>(supermarket_sales_new[[#This Row],[Unit price]]*supermarket_sales_new[[#This Row],[Quantity]])+supermarket_sales_new[[#This Row],[Tax 5%]]</f>
        <v>36508.5</v>
      </c>
    </row>
    <row r="156" spans="1:10" x14ac:dyDescent="0.35">
      <c r="A156" t="s">
        <v>9</v>
      </c>
      <c r="B156" t="s">
        <v>178</v>
      </c>
      <c r="C156" t="s">
        <v>16</v>
      </c>
      <c r="D156" t="s">
        <v>17</v>
      </c>
      <c r="E156" t="s">
        <v>18</v>
      </c>
      <c r="F156" t="s">
        <v>19</v>
      </c>
      <c r="G156" s="1">
        <v>4765</v>
      </c>
      <c r="H156">
        <v>3</v>
      </c>
      <c r="I156" s="1">
        <f>supermarket_sales_new[[#This Row],[Unit price]]*supermarket_sales_new[[#This Row],[Quantity]]*5%</f>
        <v>714.75</v>
      </c>
      <c r="J156" s="1">
        <f>(supermarket_sales_new[[#This Row],[Unit price]]*supermarket_sales_new[[#This Row],[Quantity]])+supermarket_sales_new[[#This Row],[Tax 5%]]</f>
        <v>15009.75</v>
      </c>
    </row>
    <row r="157" spans="1:10" x14ac:dyDescent="0.35">
      <c r="A157" t="s">
        <v>9</v>
      </c>
      <c r="B157" t="s">
        <v>179</v>
      </c>
      <c r="C157" t="s">
        <v>25</v>
      </c>
      <c r="D157" t="s">
        <v>26</v>
      </c>
      <c r="E157" t="s">
        <v>13</v>
      </c>
      <c r="F157" t="s">
        <v>27</v>
      </c>
      <c r="G157" s="1">
        <v>4282</v>
      </c>
      <c r="H157">
        <v>9</v>
      </c>
      <c r="I157" s="1">
        <f>supermarket_sales_new[[#This Row],[Unit price]]*supermarket_sales_new[[#This Row],[Quantity]]*5%</f>
        <v>1926.9</v>
      </c>
      <c r="J157" s="1">
        <f>(supermarket_sales_new[[#This Row],[Unit price]]*supermarket_sales_new[[#This Row],[Quantity]])+supermarket_sales_new[[#This Row],[Tax 5%]]</f>
        <v>40464.9</v>
      </c>
    </row>
    <row r="158" spans="1:10" x14ac:dyDescent="0.35">
      <c r="A158" t="s">
        <v>9</v>
      </c>
      <c r="B158" t="s">
        <v>180</v>
      </c>
      <c r="C158" t="s">
        <v>25</v>
      </c>
      <c r="D158" t="s">
        <v>26</v>
      </c>
      <c r="E158" t="s">
        <v>13</v>
      </c>
      <c r="F158" t="s">
        <v>14</v>
      </c>
      <c r="G158" s="1">
        <v>5597</v>
      </c>
      <c r="H158">
        <v>7</v>
      </c>
      <c r="I158" s="1">
        <f>supermarket_sales_new[[#This Row],[Unit price]]*supermarket_sales_new[[#This Row],[Quantity]]*5%</f>
        <v>1958.95</v>
      </c>
      <c r="J158" s="1">
        <f>(supermarket_sales_new[[#This Row],[Unit price]]*supermarket_sales_new[[#This Row],[Quantity]])+supermarket_sales_new[[#This Row],[Tax 5%]]</f>
        <v>41137.949999999997</v>
      </c>
    </row>
    <row r="159" spans="1:10" x14ac:dyDescent="0.35">
      <c r="A159" t="s">
        <v>9</v>
      </c>
      <c r="B159" t="s">
        <v>181</v>
      </c>
      <c r="C159" t="s">
        <v>25</v>
      </c>
      <c r="D159" t="s">
        <v>26</v>
      </c>
      <c r="E159" t="s">
        <v>13</v>
      </c>
      <c r="F159" t="s">
        <v>14</v>
      </c>
      <c r="G159" s="1">
        <v>769</v>
      </c>
      <c r="H159">
        <v>7</v>
      </c>
      <c r="I159" s="1">
        <f>supermarket_sales_new[[#This Row],[Unit price]]*supermarket_sales_new[[#This Row],[Quantity]]*5%</f>
        <v>269.15000000000003</v>
      </c>
      <c r="J159" s="1">
        <f>(supermarket_sales_new[[#This Row],[Unit price]]*supermarket_sales_new[[#This Row],[Quantity]])+supermarket_sales_new[[#This Row],[Tax 5%]]</f>
        <v>5652.15</v>
      </c>
    </row>
    <row r="160" spans="1:10" x14ac:dyDescent="0.35">
      <c r="A160" t="s">
        <v>9</v>
      </c>
      <c r="B160" t="s">
        <v>182</v>
      </c>
      <c r="C160" t="s">
        <v>16</v>
      </c>
      <c r="D160" t="s">
        <v>17</v>
      </c>
      <c r="E160" t="s">
        <v>18</v>
      </c>
      <c r="F160" t="s">
        <v>27</v>
      </c>
      <c r="G160" s="1">
        <v>9703</v>
      </c>
      <c r="H160">
        <v>5</v>
      </c>
      <c r="I160" s="1">
        <f>supermarket_sales_new[[#This Row],[Unit price]]*supermarket_sales_new[[#This Row],[Quantity]]*5%</f>
        <v>2425.75</v>
      </c>
      <c r="J160" s="1">
        <f>(supermarket_sales_new[[#This Row],[Unit price]]*supermarket_sales_new[[#This Row],[Quantity]])+supermarket_sales_new[[#This Row],[Tax 5%]]</f>
        <v>50940.75</v>
      </c>
    </row>
    <row r="161" spans="1:10" x14ac:dyDescent="0.35">
      <c r="A161" t="s">
        <v>9</v>
      </c>
      <c r="B161" t="s">
        <v>183</v>
      </c>
      <c r="C161" t="s">
        <v>11</v>
      </c>
      <c r="D161" t="s">
        <v>12</v>
      </c>
      <c r="E161" t="s">
        <v>18</v>
      </c>
      <c r="F161" t="s">
        <v>29</v>
      </c>
      <c r="G161" s="1">
        <v>7793</v>
      </c>
      <c r="H161">
        <v>9</v>
      </c>
      <c r="I161" s="1">
        <f>supermarket_sales_new[[#This Row],[Unit price]]*supermarket_sales_new[[#This Row],[Quantity]]*5%</f>
        <v>3506.8500000000004</v>
      </c>
      <c r="J161" s="1">
        <f>(supermarket_sales_new[[#This Row],[Unit price]]*supermarket_sales_new[[#This Row],[Quantity]])+supermarket_sales_new[[#This Row],[Tax 5%]]</f>
        <v>73643.850000000006</v>
      </c>
    </row>
    <row r="162" spans="1:10" x14ac:dyDescent="0.35">
      <c r="A162" t="s">
        <v>9</v>
      </c>
      <c r="B162" t="s">
        <v>184</v>
      </c>
      <c r="C162" t="s">
        <v>16</v>
      </c>
      <c r="D162" t="s">
        <v>17</v>
      </c>
      <c r="E162" t="s">
        <v>13</v>
      </c>
      <c r="F162" t="s">
        <v>22</v>
      </c>
      <c r="G162" s="1">
        <v>8925</v>
      </c>
      <c r="H162">
        <v>8</v>
      </c>
      <c r="I162" s="1">
        <f>supermarket_sales_new[[#This Row],[Unit price]]*supermarket_sales_new[[#This Row],[Quantity]]*5%</f>
        <v>3570</v>
      </c>
      <c r="J162" s="1">
        <f>(supermarket_sales_new[[#This Row],[Unit price]]*supermarket_sales_new[[#This Row],[Quantity]])+supermarket_sales_new[[#This Row],[Tax 5%]]</f>
        <v>74970</v>
      </c>
    </row>
    <row r="163" spans="1:10" x14ac:dyDescent="0.35">
      <c r="A163" t="s">
        <v>9</v>
      </c>
      <c r="B163" t="s">
        <v>185</v>
      </c>
      <c r="C163" t="s">
        <v>25</v>
      </c>
      <c r="D163" t="s">
        <v>26</v>
      </c>
      <c r="E163" t="s">
        <v>18</v>
      </c>
      <c r="F163" t="s">
        <v>14</v>
      </c>
      <c r="G163" s="1">
        <v>135</v>
      </c>
      <c r="H163">
        <v>10</v>
      </c>
      <c r="I163" s="1">
        <f>supermarket_sales_new[[#This Row],[Unit price]]*supermarket_sales_new[[#This Row],[Quantity]]*5%</f>
        <v>67.5</v>
      </c>
      <c r="J163" s="1">
        <f>(supermarket_sales_new[[#This Row],[Unit price]]*supermarket_sales_new[[#This Row],[Quantity]])+supermarket_sales_new[[#This Row],[Tax 5%]]</f>
        <v>1417.5</v>
      </c>
    </row>
    <row r="164" spans="1:10" x14ac:dyDescent="0.35">
      <c r="A164" t="s">
        <v>9</v>
      </c>
      <c r="B164" t="s">
        <v>186</v>
      </c>
      <c r="C164" t="s">
        <v>16</v>
      </c>
      <c r="D164" t="s">
        <v>17</v>
      </c>
      <c r="E164" t="s">
        <v>13</v>
      </c>
      <c r="F164" t="s">
        <v>29</v>
      </c>
      <c r="G164" s="1">
        <v>993</v>
      </c>
      <c r="H164">
        <v>10</v>
      </c>
      <c r="I164" s="1">
        <f>supermarket_sales_new[[#This Row],[Unit price]]*supermarket_sales_new[[#This Row],[Quantity]]*5%</f>
        <v>496.5</v>
      </c>
      <c r="J164" s="1">
        <f>(supermarket_sales_new[[#This Row],[Unit price]]*supermarket_sales_new[[#This Row],[Quantity]])+supermarket_sales_new[[#This Row],[Tax 5%]]</f>
        <v>10426.5</v>
      </c>
    </row>
    <row r="165" spans="1:10" x14ac:dyDescent="0.35">
      <c r="A165" t="s">
        <v>9</v>
      </c>
      <c r="B165" t="s">
        <v>187</v>
      </c>
      <c r="C165" t="s">
        <v>25</v>
      </c>
      <c r="D165" t="s">
        <v>26</v>
      </c>
      <c r="E165" t="s">
        <v>13</v>
      </c>
      <c r="F165" t="s">
        <v>29</v>
      </c>
      <c r="G165" s="1">
        <v>5473</v>
      </c>
      <c r="H165">
        <v>7</v>
      </c>
      <c r="I165" s="1">
        <f>supermarket_sales_new[[#This Row],[Unit price]]*supermarket_sales_new[[#This Row],[Quantity]]*5%</f>
        <v>1915.5500000000002</v>
      </c>
      <c r="J165" s="1">
        <f>(supermarket_sales_new[[#This Row],[Unit price]]*supermarket_sales_new[[#This Row],[Quantity]])+supermarket_sales_new[[#This Row],[Tax 5%]]</f>
        <v>40226.550000000003</v>
      </c>
    </row>
    <row r="166" spans="1:10" x14ac:dyDescent="0.35">
      <c r="A166" t="s">
        <v>9</v>
      </c>
      <c r="B166" t="s">
        <v>188</v>
      </c>
      <c r="C166" t="s">
        <v>16</v>
      </c>
      <c r="D166" t="s">
        <v>17</v>
      </c>
      <c r="E166" t="s">
        <v>18</v>
      </c>
      <c r="F166" t="s">
        <v>19</v>
      </c>
      <c r="G166" s="1">
        <v>3024</v>
      </c>
      <c r="H166">
        <v>1</v>
      </c>
      <c r="I166" s="1">
        <f>supermarket_sales_new[[#This Row],[Unit price]]*supermarket_sales_new[[#This Row],[Quantity]]*5%</f>
        <v>151.20000000000002</v>
      </c>
      <c r="J166" s="1">
        <f>(supermarket_sales_new[[#This Row],[Unit price]]*supermarket_sales_new[[#This Row],[Quantity]])+supermarket_sales_new[[#This Row],[Tax 5%]]</f>
        <v>3175.2</v>
      </c>
    </row>
    <row r="167" spans="1:10" x14ac:dyDescent="0.35">
      <c r="A167" t="s">
        <v>9</v>
      </c>
      <c r="B167" t="s">
        <v>189</v>
      </c>
      <c r="C167" t="s">
        <v>25</v>
      </c>
      <c r="D167" t="s">
        <v>26</v>
      </c>
      <c r="E167" t="s">
        <v>13</v>
      </c>
      <c r="F167" t="s">
        <v>27</v>
      </c>
      <c r="G167" s="1">
        <v>8914</v>
      </c>
      <c r="H167">
        <v>4</v>
      </c>
      <c r="I167" s="1">
        <f>supermarket_sales_new[[#This Row],[Unit price]]*supermarket_sales_new[[#This Row],[Quantity]]*5%</f>
        <v>1782.8000000000002</v>
      </c>
      <c r="J167" s="1">
        <f>(supermarket_sales_new[[#This Row],[Unit price]]*supermarket_sales_new[[#This Row],[Quantity]])+supermarket_sales_new[[#This Row],[Tax 5%]]</f>
        <v>37438.800000000003</v>
      </c>
    </row>
    <row r="168" spans="1:10" x14ac:dyDescent="0.35">
      <c r="A168" t="s">
        <v>9</v>
      </c>
      <c r="B168" t="s">
        <v>190</v>
      </c>
      <c r="C168" t="s">
        <v>16</v>
      </c>
      <c r="D168" t="s">
        <v>17</v>
      </c>
      <c r="E168" t="s">
        <v>18</v>
      </c>
      <c r="F168" t="s">
        <v>29</v>
      </c>
      <c r="G168" s="1">
        <v>3755</v>
      </c>
      <c r="H168">
        <v>10</v>
      </c>
      <c r="I168" s="1">
        <f>supermarket_sales_new[[#This Row],[Unit price]]*supermarket_sales_new[[#This Row],[Quantity]]*5%</f>
        <v>1877.5</v>
      </c>
      <c r="J168" s="1">
        <f>(supermarket_sales_new[[#This Row],[Unit price]]*supermarket_sales_new[[#This Row],[Quantity]])+supermarket_sales_new[[#This Row],[Tax 5%]]</f>
        <v>39427.5</v>
      </c>
    </row>
    <row r="169" spans="1:10" x14ac:dyDescent="0.35">
      <c r="A169" t="s">
        <v>9</v>
      </c>
      <c r="B169" t="s">
        <v>191</v>
      </c>
      <c r="C169" t="s">
        <v>16</v>
      </c>
      <c r="D169" t="s">
        <v>17</v>
      </c>
      <c r="E169" t="s">
        <v>18</v>
      </c>
      <c r="F169" t="s">
        <v>33</v>
      </c>
      <c r="G169" s="1">
        <v>9544</v>
      </c>
      <c r="H169">
        <v>10</v>
      </c>
      <c r="I169" s="1">
        <f>supermarket_sales_new[[#This Row],[Unit price]]*supermarket_sales_new[[#This Row],[Quantity]]*5%</f>
        <v>4772</v>
      </c>
      <c r="J169" s="1">
        <f>(supermarket_sales_new[[#This Row],[Unit price]]*supermarket_sales_new[[#This Row],[Quantity]])+supermarket_sales_new[[#This Row],[Tax 5%]]</f>
        <v>100212</v>
      </c>
    </row>
    <row r="170" spans="1:10" x14ac:dyDescent="0.35">
      <c r="A170" t="s">
        <v>9</v>
      </c>
      <c r="B170" t="s">
        <v>192</v>
      </c>
      <c r="C170" t="s">
        <v>16</v>
      </c>
      <c r="D170" t="s">
        <v>17</v>
      </c>
      <c r="E170" t="s">
        <v>18</v>
      </c>
      <c r="F170" t="s">
        <v>27</v>
      </c>
      <c r="G170" s="1">
        <v>9447</v>
      </c>
      <c r="H170">
        <v>8</v>
      </c>
      <c r="I170" s="1">
        <f>supermarket_sales_new[[#This Row],[Unit price]]*supermarket_sales_new[[#This Row],[Quantity]]*5%</f>
        <v>3778.8</v>
      </c>
      <c r="J170" s="1">
        <f>(supermarket_sales_new[[#This Row],[Unit price]]*supermarket_sales_new[[#This Row],[Quantity]])+supermarket_sales_new[[#This Row],[Tax 5%]]</f>
        <v>79354.8</v>
      </c>
    </row>
    <row r="171" spans="1:10" x14ac:dyDescent="0.35">
      <c r="A171" t="s">
        <v>9</v>
      </c>
      <c r="B171" t="s">
        <v>193</v>
      </c>
      <c r="C171" t="s">
        <v>16</v>
      </c>
      <c r="D171" t="s">
        <v>17</v>
      </c>
      <c r="E171" t="s">
        <v>18</v>
      </c>
      <c r="F171" t="s">
        <v>27</v>
      </c>
      <c r="G171" s="1">
        <v>4124</v>
      </c>
      <c r="H171">
        <v>4</v>
      </c>
      <c r="I171" s="1">
        <f>supermarket_sales_new[[#This Row],[Unit price]]*supermarket_sales_new[[#This Row],[Quantity]]*5%</f>
        <v>824.80000000000007</v>
      </c>
      <c r="J171" s="1">
        <f>(supermarket_sales_new[[#This Row],[Unit price]]*supermarket_sales_new[[#This Row],[Quantity]])+supermarket_sales_new[[#This Row],[Tax 5%]]</f>
        <v>17320.8</v>
      </c>
    </row>
    <row r="172" spans="1:10" x14ac:dyDescent="0.35">
      <c r="A172" t="s">
        <v>9</v>
      </c>
      <c r="B172" t="s">
        <v>194</v>
      </c>
      <c r="C172" t="s">
        <v>16</v>
      </c>
      <c r="D172" t="s">
        <v>17</v>
      </c>
      <c r="E172" t="s">
        <v>18</v>
      </c>
      <c r="F172" t="s">
        <v>29</v>
      </c>
      <c r="G172" s="1">
        <v>8168</v>
      </c>
      <c r="H172">
        <v>4</v>
      </c>
      <c r="I172" s="1">
        <f>supermarket_sales_new[[#This Row],[Unit price]]*supermarket_sales_new[[#This Row],[Quantity]]*5%</f>
        <v>1633.6000000000001</v>
      </c>
      <c r="J172" s="1">
        <f>(supermarket_sales_new[[#This Row],[Unit price]]*supermarket_sales_new[[#This Row],[Quantity]])+supermarket_sales_new[[#This Row],[Tax 5%]]</f>
        <v>34305.599999999999</v>
      </c>
    </row>
    <row r="173" spans="1:10" x14ac:dyDescent="0.35">
      <c r="A173" t="s">
        <v>9</v>
      </c>
      <c r="B173" t="s">
        <v>195</v>
      </c>
      <c r="C173" t="s">
        <v>16</v>
      </c>
      <c r="D173" t="s">
        <v>17</v>
      </c>
      <c r="E173" t="s">
        <v>18</v>
      </c>
      <c r="F173" t="s">
        <v>19</v>
      </c>
      <c r="G173" s="1">
        <v>5132</v>
      </c>
      <c r="H173">
        <v>9</v>
      </c>
      <c r="I173" s="1">
        <f>supermarket_sales_new[[#This Row],[Unit price]]*supermarket_sales_new[[#This Row],[Quantity]]*5%</f>
        <v>2309.4</v>
      </c>
      <c r="J173" s="1">
        <f>(supermarket_sales_new[[#This Row],[Unit price]]*supermarket_sales_new[[#This Row],[Quantity]])+supermarket_sales_new[[#This Row],[Tax 5%]]</f>
        <v>48497.4</v>
      </c>
    </row>
    <row r="174" spans="1:10" x14ac:dyDescent="0.35">
      <c r="A174" t="s">
        <v>9</v>
      </c>
      <c r="B174" t="s">
        <v>196</v>
      </c>
      <c r="C174" t="s">
        <v>16</v>
      </c>
      <c r="D174" t="s">
        <v>17</v>
      </c>
      <c r="E174" t="s">
        <v>18</v>
      </c>
      <c r="F174" t="s">
        <v>33</v>
      </c>
      <c r="G174" s="1">
        <v>1436</v>
      </c>
      <c r="H174">
        <v>10</v>
      </c>
      <c r="I174" s="1">
        <f>supermarket_sales_new[[#This Row],[Unit price]]*supermarket_sales_new[[#This Row],[Quantity]]*5%</f>
        <v>718</v>
      </c>
      <c r="J174" s="1">
        <f>(supermarket_sales_new[[#This Row],[Unit price]]*supermarket_sales_new[[#This Row],[Quantity]])+supermarket_sales_new[[#This Row],[Tax 5%]]</f>
        <v>15078</v>
      </c>
    </row>
    <row r="175" spans="1:10" x14ac:dyDescent="0.35">
      <c r="A175" t="s">
        <v>9</v>
      </c>
      <c r="B175" t="s">
        <v>197</v>
      </c>
      <c r="C175" t="s">
        <v>25</v>
      </c>
      <c r="D175" t="s">
        <v>26</v>
      </c>
      <c r="E175" t="s">
        <v>13</v>
      </c>
      <c r="F175" t="s">
        <v>19</v>
      </c>
      <c r="G175" s="1">
        <v>2626</v>
      </c>
      <c r="H175">
        <v>7</v>
      </c>
      <c r="I175" s="1">
        <f>supermarket_sales_new[[#This Row],[Unit price]]*supermarket_sales_new[[#This Row],[Quantity]]*5%</f>
        <v>919.1</v>
      </c>
      <c r="J175" s="1">
        <f>(supermarket_sales_new[[#This Row],[Unit price]]*supermarket_sales_new[[#This Row],[Quantity]])+supermarket_sales_new[[#This Row],[Tax 5%]]</f>
        <v>19301.099999999999</v>
      </c>
    </row>
    <row r="176" spans="1:10" x14ac:dyDescent="0.35">
      <c r="A176" t="s">
        <v>9</v>
      </c>
      <c r="B176" t="s">
        <v>198</v>
      </c>
      <c r="C176" t="s">
        <v>25</v>
      </c>
      <c r="D176" t="s">
        <v>26</v>
      </c>
      <c r="E176" t="s">
        <v>18</v>
      </c>
      <c r="F176" t="s">
        <v>29</v>
      </c>
      <c r="G176" s="1">
        <v>6096</v>
      </c>
      <c r="H176">
        <v>2</v>
      </c>
      <c r="I176" s="1">
        <f>supermarket_sales_new[[#This Row],[Unit price]]*supermarket_sales_new[[#This Row],[Quantity]]*5%</f>
        <v>609.6</v>
      </c>
      <c r="J176" s="1">
        <f>(supermarket_sales_new[[#This Row],[Unit price]]*supermarket_sales_new[[#This Row],[Quantity]])+supermarket_sales_new[[#This Row],[Tax 5%]]</f>
        <v>12801.6</v>
      </c>
    </row>
    <row r="177" spans="1:10" x14ac:dyDescent="0.35">
      <c r="A177" t="s">
        <v>9</v>
      </c>
      <c r="B177" t="s">
        <v>199</v>
      </c>
      <c r="C177" t="s">
        <v>16</v>
      </c>
      <c r="D177" t="s">
        <v>17</v>
      </c>
      <c r="E177" t="s">
        <v>18</v>
      </c>
      <c r="F177" t="s">
        <v>22</v>
      </c>
      <c r="G177" s="1">
        <v>7011</v>
      </c>
      <c r="H177">
        <v>6</v>
      </c>
      <c r="I177" s="1">
        <f>supermarket_sales_new[[#This Row],[Unit price]]*supermarket_sales_new[[#This Row],[Quantity]]*5%</f>
        <v>2103.3000000000002</v>
      </c>
      <c r="J177" s="1">
        <f>(supermarket_sales_new[[#This Row],[Unit price]]*supermarket_sales_new[[#This Row],[Quantity]])+supermarket_sales_new[[#This Row],[Tax 5%]]</f>
        <v>44169.3</v>
      </c>
    </row>
    <row r="178" spans="1:10" x14ac:dyDescent="0.35">
      <c r="A178" t="s">
        <v>9</v>
      </c>
      <c r="B178" t="s">
        <v>200</v>
      </c>
      <c r="C178" t="s">
        <v>11</v>
      </c>
      <c r="D178" t="s">
        <v>12</v>
      </c>
      <c r="E178" t="s">
        <v>18</v>
      </c>
      <c r="F178" t="s">
        <v>22</v>
      </c>
      <c r="G178" s="1">
        <v>6709</v>
      </c>
      <c r="H178">
        <v>5</v>
      </c>
      <c r="I178" s="1">
        <f>supermarket_sales_new[[#This Row],[Unit price]]*supermarket_sales_new[[#This Row],[Quantity]]*5%</f>
        <v>1677.25</v>
      </c>
      <c r="J178" s="1">
        <f>(supermarket_sales_new[[#This Row],[Unit price]]*supermarket_sales_new[[#This Row],[Quantity]])+supermarket_sales_new[[#This Row],[Tax 5%]]</f>
        <v>35222.25</v>
      </c>
    </row>
    <row r="179" spans="1:10" x14ac:dyDescent="0.35">
      <c r="A179" t="s">
        <v>9</v>
      </c>
      <c r="B179" t="s">
        <v>201</v>
      </c>
      <c r="C179" t="s">
        <v>11</v>
      </c>
      <c r="D179" t="s">
        <v>12</v>
      </c>
      <c r="E179" t="s">
        <v>13</v>
      </c>
      <c r="F179" t="s">
        <v>29</v>
      </c>
      <c r="G179" s="1">
        <v>967</v>
      </c>
      <c r="H179">
        <v>5</v>
      </c>
      <c r="I179" s="1">
        <f>supermarket_sales_new[[#This Row],[Unit price]]*supermarket_sales_new[[#This Row],[Quantity]]*5%</f>
        <v>241.75</v>
      </c>
      <c r="J179" s="1">
        <f>(supermarket_sales_new[[#This Row],[Unit price]]*supermarket_sales_new[[#This Row],[Quantity]])+supermarket_sales_new[[#This Row],[Tax 5%]]</f>
        <v>5076.75</v>
      </c>
    </row>
    <row r="180" spans="1:10" x14ac:dyDescent="0.35">
      <c r="A180" t="s">
        <v>9</v>
      </c>
      <c r="B180" t="s">
        <v>202</v>
      </c>
      <c r="C180" t="s">
        <v>25</v>
      </c>
      <c r="D180" t="s">
        <v>26</v>
      </c>
      <c r="E180" t="s">
        <v>13</v>
      </c>
      <c r="F180" t="s">
        <v>22</v>
      </c>
      <c r="G180" s="1">
        <v>3538</v>
      </c>
      <c r="H180">
        <v>9</v>
      </c>
      <c r="I180" s="1">
        <f>supermarket_sales_new[[#This Row],[Unit price]]*supermarket_sales_new[[#This Row],[Quantity]]*5%</f>
        <v>1592.1000000000001</v>
      </c>
      <c r="J180" s="1">
        <f>(supermarket_sales_new[[#This Row],[Unit price]]*supermarket_sales_new[[#This Row],[Quantity]])+supermarket_sales_new[[#This Row],[Tax 5%]]</f>
        <v>33434.1</v>
      </c>
    </row>
    <row r="181" spans="1:10" x14ac:dyDescent="0.35">
      <c r="A181" t="s">
        <v>9</v>
      </c>
      <c r="B181" t="s">
        <v>203</v>
      </c>
      <c r="C181" t="s">
        <v>25</v>
      </c>
      <c r="D181" t="s">
        <v>26</v>
      </c>
      <c r="E181" t="s">
        <v>18</v>
      </c>
      <c r="F181" t="s">
        <v>19</v>
      </c>
      <c r="G181" s="1">
        <v>2365</v>
      </c>
      <c r="H181">
        <v>4</v>
      </c>
      <c r="I181" s="1">
        <f>supermarket_sales_new[[#This Row],[Unit price]]*supermarket_sales_new[[#This Row],[Quantity]]*5%</f>
        <v>473</v>
      </c>
      <c r="J181" s="1">
        <f>(supermarket_sales_new[[#This Row],[Unit price]]*supermarket_sales_new[[#This Row],[Quantity]])+supermarket_sales_new[[#This Row],[Tax 5%]]</f>
        <v>9933</v>
      </c>
    </row>
    <row r="182" spans="1:10" x14ac:dyDescent="0.35">
      <c r="A182" t="s">
        <v>9</v>
      </c>
      <c r="B182" t="s">
        <v>204</v>
      </c>
      <c r="C182" t="s">
        <v>16</v>
      </c>
      <c r="D182" t="s">
        <v>17</v>
      </c>
      <c r="E182" t="s">
        <v>18</v>
      </c>
      <c r="F182" t="s">
        <v>19</v>
      </c>
      <c r="G182" s="1">
        <v>2661</v>
      </c>
      <c r="H182">
        <v>2</v>
      </c>
      <c r="I182" s="1">
        <f>supermarket_sales_new[[#This Row],[Unit price]]*supermarket_sales_new[[#This Row],[Quantity]]*5%</f>
        <v>266.10000000000002</v>
      </c>
      <c r="J182" s="1">
        <f>(supermarket_sales_new[[#This Row],[Unit price]]*supermarket_sales_new[[#This Row],[Quantity]])+supermarket_sales_new[[#This Row],[Tax 5%]]</f>
        <v>5588.1</v>
      </c>
    </row>
    <row r="183" spans="1:10" x14ac:dyDescent="0.35">
      <c r="A183" t="s">
        <v>9</v>
      </c>
      <c r="B183" t="s">
        <v>205</v>
      </c>
      <c r="C183" t="s">
        <v>25</v>
      </c>
      <c r="D183" t="s">
        <v>26</v>
      </c>
      <c r="E183" t="s">
        <v>18</v>
      </c>
      <c r="F183" t="s">
        <v>27</v>
      </c>
      <c r="G183" s="1">
        <v>9969</v>
      </c>
      <c r="H183">
        <v>5</v>
      </c>
      <c r="I183" s="1">
        <f>supermarket_sales_new[[#This Row],[Unit price]]*supermarket_sales_new[[#This Row],[Quantity]]*5%</f>
        <v>2492.25</v>
      </c>
      <c r="J183" s="1">
        <f>(supermarket_sales_new[[#This Row],[Unit price]]*supermarket_sales_new[[#This Row],[Quantity]])+supermarket_sales_new[[#This Row],[Tax 5%]]</f>
        <v>52337.25</v>
      </c>
    </row>
    <row r="184" spans="1:10" x14ac:dyDescent="0.35">
      <c r="A184" t="s">
        <v>9</v>
      </c>
      <c r="B184" t="s">
        <v>206</v>
      </c>
      <c r="C184" t="s">
        <v>16</v>
      </c>
      <c r="D184" t="s">
        <v>17</v>
      </c>
      <c r="E184" t="s">
        <v>13</v>
      </c>
      <c r="F184" t="s">
        <v>27</v>
      </c>
      <c r="G184" s="1">
        <v>7489</v>
      </c>
      <c r="H184">
        <v>4</v>
      </c>
      <c r="I184" s="1">
        <f>supermarket_sales_new[[#This Row],[Unit price]]*supermarket_sales_new[[#This Row],[Quantity]]*5%</f>
        <v>1497.8000000000002</v>
      </c>
      <c r="J184" s="1">
        <f>(supermarket_sales_new[[#This Row],[Unit price]]*supermarket_sales_new[[#This Row],[Quantity]])+supermarket_sales_new[[#This Row],[Tax 5%]]</f>
        <v>31453.8</v>
      </c>
    </row>
    <row r="185" spans="1:10" x14ac:dyDescent="0.35">
      <c r="A185" t="s">
        <v>9</v>
      </c>
      <c r="B185" t="s">
        <v>207</v>
      </c>
      <c r="C185" t="s">
        <v>11</v>
      </c>
      <c r="D185" t="s">
        <v>12</v>
      </c>
      <c r="E185" t="s">
        <v>18</v>
      </c>
      <c r="F185" t="s">
        <v>27</v>
      </c>
      <c r="G185" s="1">
        <v>4094</v>
      </c>
      <c r="H185">
        <v>5</v>
      </c>
      <c r="I185" s="1">
        <f>supermarket_sales_new[[#This Row],[Unit price]]*supermarket_sales_new[[#This Row],[Quantity]]*5%</f>
        <v>1023.5</v>
      </c>
      <c r="J185" s="1">
        <f>(supermarket_sales_new[[#This Row],[Unit price]]*supermarket_sales_new[[#This Row],[Quantity]])+supermarket_sales_new[[#This Row],[Tax 5%]]</f>
        <v>21493.5</v>
      </c>
    </row>
    <row r="186" spans="1:10" x14ac:dyDescent="0.35">
      <c r="A186" t="s">
        <v>9</v>
      </c>
      <c r="B186" t="s">
        <v>208</v>
      </c>
      <c r="C186" t="s">
        <v>11</v>
      </c>
      <c r="D186" t="s">
        <v>12</v>
      </c>
      <c r="E186" t="s">
        <v>18</v>
      </c>
      <c r="F186" t="s">
        <v>14</v>
      </c>
      <c r="G186" s="1">
        <v>3232</v>
      </c>
      <c r="H186">
        <v>10</v>
      </c>
      <c r="I186" s="1">
        <f>supermarket_sales_new[[#This Row],[Unit price]]*supermarket_sales_new[[#This Row],[Quantity]]*5%</f>
        <v>1616</v>
      </c>
      <c r="J186" s="1">
        <f>(supermarket_sales_new[[#This Row],[Unit price]]*supermarket_sales_new[[#This Row],[Quantity]])+supermarket_sales_new[[#This Row],[Tax 5%]]</f>
        <v>33936</v>
      </c>
    </row>
    <row r="187" spans="1:10" x14ac:dyDescent="0.35">
      <c r="A187" t="s">
        <v>9</v>
      </c>
      <c r="B187" t="s">
        <v>209</v>
      </c>
      <c r="C187" t="s">
        <v>16</v>
      </c>
      <c r="D187" t="s">
        <v>17</v>
      </c>
      <c r="E187" t="s">
        <v>13</v>
      </c>
      <c r="F187" t="s">
        <v>29</v>
      </c>
      <c r="G187" s="1">
        <v>5407</v>
      </c>
      <c r="H187">
        <v>9</v>
      </c>
      <c r="I187" s="1">
        <f>supermarket_sales_new[[#This Row],[Unit price]]*supermarket_sales_new[[#This Row],[Quantity]]*5%</f>
        <v>2433.15</v>
      </c>
      <c r="J187" s="1">
        <f>(supermarket_sales_new[[#This Row],[Unit price]]*supermarket_sales_new[[#This Row],[Quantity]])+supermarket_sales_new[[#This Row],[Tax 5%]]</f>
        <v>51096.15</v>
      </c>
    </row>
    <row r="188" spans="1:10" x14ac:dyDescent="0.35">
      <c r="A188" t="s">
        <v>9</v>
      </c>
      <c r="B188" t="s">
        <v>210</v>
      </c>
      <c r="C188" t="s">
        <v>16</v>
      </c>
      <c r="D188" t="s">
        <v>17</v>
      </c>
      <c r="E188" t="s">
        <v>13</v>
      </c>
      <c r="F188" t="s">
        <v>29</v>
      </c>
      <c r="G188" s="1">
        <v>8048</v>
      </c>
      <c r="H188">
        <v>3</v>
      </c>
      <c r="I188" s="1">
        <f>supermarket_sales_new[[#This Row],[Unit price]]*supermarket_sales_new[[#This Row],[Quantity]]*5%</f>
        <v>1207.2</v>
      </c>
      <c r="J188" s="1">
        <f>(supermarket_sales_new[[#This Row],[Unit price]]*supermarket_sales_new[[#This Row],[Quantity]])+supermarket_sales_new[[#This Row],[Tax 5%]]</f>
        <v>25351.200000000001</v>
      </c>
    </row>
    <row r="189" spans="1:10" x14ac:dyDescent="0.35">
      <c r="A189" t="s">
        <v>9</v>
      </c>
      <c r="B189" t="s">
        <v>211</v>
      </c>
      <c r="C189" t="s">
        <v>25</v>
      </c>
      <c r="D189" t="s">
        <v>26</v>
      </c>
      <c r="E189" t="s">
        <v>18</v>
      </c>
      <c r="F189" t="s">
        <v>29</v>
      </c>
      <c r="G189" s="1">
        <v>3795</v>
      </c>
      <c r="H189">
        <v>10</v>
      </c>
      <c r="I189" s="1">
        <f>supermarket_sales_new[[#This Row],[Unit price]]*supermarket_sales_new[[#This Row],[Quantity]]*5%</f>
        <v>1897.5</v>
      </c>
      <c r="J189" s="1">
        <f>(supermarket_sales_new[[#This Row],[Unit price]]*supermarket_sales_new[[#This Row],[Quantity]])+supermarket_sales_new[[#This Row],[Tax 5%]]</f>
        <v>39847.5</v>
      </c>
    </row>
    <row r="190" spans="1:10" x14ac:dyDescent="0.35">
      <c r="A190" t="s">
        <v>9</v>
      </c>
      <c r="B190" t="s">
        <v>212</v>
      </c>
      <c r="C190" t="s">
        <v>11</v>
      </c>
      <c r="D190" t="s">
        <v>12</v>
      </c>
      <c r="E190" t="s">
        <v>13</v>
      </c>
      <c r="F190" t="s">
        <v>33</v>
      </c>
      <c r="G190" s="1">
        <v>5226</v>
      </c>
      <c r="H190">
        <v>10</v>
      </c>
      <c r="I190" s="1">
        <f>supermarket_sales_new[[#This Row],[Unit price]]*supermarket_sales_new[[#This Row],[Quantity]]*5%</f>
        <v>2613</v>
      </c>
      <c r="J190" s="1">
        <f>(supermarket_sales_new[[#This Row],[Unit price]]*supermarket_sales_new[[#This Row],[Quantity]])+supermarket_sales_new[[#This Row],[Tax 5%]]</f>
        <v>54873</v>
      </c>
    </row>
    <row r="191" spans="1:10" x14ac:dyDescent="0.35">
      <c r="A191" t="s">
        <v>9</v>
      </c>
      <c r="B191" t="s">
        <v>213</v>
      </c>
      <c r="C191" t="s">
        <v>11</v>
      </c>
      <c r="D191" t="s">
        <v>12</v>
      </c>
      <c r="E191" t="s">
        <v>18</v>
      </c>
      <c r="F191" t="s">
        <v>14</v>
      </c>
      <c r="G191" s="1">
        <v>7974</v>
      </c>
      <c r="H191">
        <v>1</v>
      </c>
      <c r="I191" s="1">
        <f>supermarket_sales_new[[#This Row],[Unit price]]*supermarket_sales_new[[#This Row],[Quantity]]*5%</f>
        <v>398.70000000000005</v>
      </c>
      <c r="J191" s="1">
        <f>(supermarket_sales_new[[#This Row],[Unit price]]*supermarket_sales_new[[#This Row],[Quantity]])+supermarket_sales_new[[#This Row],[Tax 5%]]</f>
        <v>8372.7000000000007</v>
      </c>
    </row>
    <row r="192" spans="1:10" x14ac:dyDescent="0.35">
      <c r="A192" t="s">
        <v>9</v>
      </c>
      <c r="B192" t="s">
        <v>214</v>
      </c>
      <c r="C192" t="s">
        <v>11</v>
      </c>
      <c r="D192" t="s">
        <v>12</v>
      </c>
      <c r="E192" t="s">
        <v>18</v>
      </c>
      <c r="F192" t="s">
        <v>14</v>
      </c>
      <c r="G192" s="1">
        <v>775</v>
      </c>
      <c r="H192">
        <v>5</v>
      </c>
      <c r="I192" s="1">
        <f>supermarket_sales_new[[#This Row],[Unit price]]*supermarket_sales_new[[#This Row],[Quantity]]*5%</f>
        <v>193.75</v>
      </c>
      <c r="J192" s="1">
        <f>(supermarket_sales_new[[#This Row],[Unit price]]*supermarket_sales_new[[#This Row],[Quantity]])+supermarket_sales_new[[#This Row],[Tax 5%]]</f>
        <v>4068.75</v>
      </c>
    </row>
    <row r="193" spans="1:10" x14ac:dyDescent="0.35">
      <c r="A193" t="s">
        <v>9</v>
      </c>
      <c r="B193" t="s">
        <v>215</v>
      </c>
      <c r="C193" t="s">
        <v>11</v>
      </c>
      <c r="D193" t="s">
        <v>12</v>
      </c>
      <c r="E193" t="s">
        <v>18</v>
      </c>
      <c r="F193" t="s">
        <v>27</v>
      </c>
      <c r="G193" s="1">
        <v>5427</v>
      </c>
      <c r="H193">
        <v>5</v>
      </c>
      <c r="I193" s="1">
        <f>supermarket_sales_new[[#This Row],[Unit price]]*supermarket_sales_new[[#This Row],[Quantity]]*5%</f>
        <v>1356.75</v>
      </c>
      <c r="J193" s="1">
        <f>(supermarket_sales_new[[#This Row],[Unit price]]*supermarket_sales_new[[#This Row],[Quantity]])+supermarket_sales_new[[#This Row],[Tax 5%]]</f>
        <v>28491.75</v>
      </c>
    </row>
    <row r="194" spans="1:10" x14ac:dyDescent="0.35">
      <c r="A194" t="s">
        <v>9</v>
      </c>
      <c r="B194" t="s">
        <v>216</v>
      </c>
      <c r="C194" t="s">
        <v>25</v>
      </c>
      <c r="D194" t="s">
        <v>26</v>
      </c>
      <c r="E194" t="s">
        <v>13</v>
      </c>
      <c r="F194" t="s">
        <v>14</v>
      </c>
      <c r="G194" s="1">
        <v>4106</v>
      </c>
      <c r="H194">
        <v>6</v>
      </c>
      <c r="I194" s="1">
        <f>supermarket_sales_new[[#This Row],[Unit price]]*supermarket_sales_new[[#This Row],[Quantity]]*5%</f>
        <v>1231.8000000000002</v>
      </c>
      <c r="J194" s="1">
        <f>(supermarket_sales_new[[#This Row],[Unit price]]*supermarket_sales_new[[#This Row],[Quantity]])+supermarket_sales_new[[#This Row],[Tax 5%]]</f>
        <v>25867.8</v>
      </c>
    </row>
    <row r="195" spans="1:10" x14ac:dyDescent="0.35">
      <c r="A195" t="s">
        <v>9</v>
      </c>
      <c r="B195" t="s">
        <v>217</v>
      </c>
      <c r="C195" t="s">
        <v>16</v>
      </c>
      <c r="D195" t="s">
        <v>17</v>
      </c>
      <c r="E195" t="s">
        <v>18</v>
      </c>
      <c r="F195" t="s">
        <v>27</v>
      </c>
      <c r="G195" s="1">
        <v>3943</v>
      </c>
      <c r="H195">
        <v>6</v>
      </c>
      <c r="I195" s="1">
        <f>supermarket_sales_new[[#This Row],[Unit price]]*supermarket_sales_new[[#This Row],[Quantity]]*5%</f>
        <v>1182.9000000000001</v>
      </c>
      <c r="J195" s="1">
        <f>(supermarket_sales_new[[#This Row],[Unit price]]*supermarket_sales_new[[#This Row],[Quantity]])+supermarket_sales_new[[#This Row],[Tax 5%]]</f>
        <v>24840.9</v>
      </c>
    </row>
    <row r="196" spans="1:10" x14ac:dyDescent="0.35">
      <c r="A196" t="s">
        <v>9</v>
      </c>
      <c r="B196" t="s">
        <v>218</v>
      </c>
      <c r="C196" t="s">
        <v>25</v>
      </c>
      <c r="D196" t="s">
        <v>26</v>
      </c>
      <c r="E196" t="s">
        <v>18</v>
      </c>
      <c r="F196" t="s">
        <v>29</v>
      </c>
      <c r="G196" s="1">
        <v>3975</v>
      </c>
      <c r="H196">
        <v>5</v>
      </c>
      <c r="I196" s="1">
        <f>supermarket_sales_new[[#This Row],[Unit price]]*supermarket_sales_new[[#This Row],[Quantity]]*5%</f>
        <v>993.75</v>
      </c>
      <c r="J196" s="1">
        <f>(supermarket_sales_new[[#This Row],[Unit price]]*supermarket_sales_new[[#This Row],[Quantity]])+supermarket_sales_new[[#This Row],[Tax 5%]]</f>
        <v>20868.75</v>
      </c>
    </row>
    <row r="197" spans="1:10" x14ac:dyDescent="0.35">
      <c r="A197" t="s">
        <v>9</v>
      </c>
      <c r="B197" t="s">
        <v>219</v>
      </c>
      <c r="C197" t="s">
        <v>16</v>
      </c>
      <c r="D197" t="s">
        <v>17</v>
      </c>
      <c r="E197" t="s">
        <v>13</v>
      </c>
      <c r="F197" t="s">
        <v>29</v>
      </c>
      <c r="G197" s="1">
        <v>9779</v>
      </c>
      <c r="H197">
        <v>7</v>
      </c>
      <c r="I197" s="1">
        <f>supermarket_sales_new[[#This Row],[Unit price]]*supermarket_sales_new[[#This Row],[Quantity]]*5%</f>
        <v>3422.65</v>
      </c>
      <c r="J197" s="1">
        <f>(supermarket_sales_new[[#This Row],[Unit price]]*supermarket_sales_new[[#This Row],[Quantity]])+supermarket_sales_new[[#This Row],[Tax 5%]]</f>
        <v>71875.649999999994</v>
      </c>
    </row>
    <row r="198" spans="1:10" x14ac:dyDescent="0.35">
      <c r="A198" t="s">
        <v>9</v>
      </c>
      <c r="B198" t="s">
        <v>220</v>
      </c>
      <c r="C198" t="s">
        <v>25</v>
      </c>
      <c r="D198" t="s">
        <v>26</v>
      </c>
      <c r="E198" t="s">
        <v>13</v>
      </c>
      <c r="F198" t="s">
        <v>29</v>
      </c>
      <c r="G198" s="1">
        <v>6871</v>
      </c>
      <c r="H198">
        <v>4</v>
      </c>
      <c r="I198" s="1">
        <f>supermarket_sales_new[[#This Row],[Unit price]]*supermarket_sales_new[[#This Row],[Quantity]]*5%</f>
        <v>1374.2</v>
      </c>
      <c r="J198" s="1">
        <f>(supermarket_sales_new[[#This Row],[Unit price]]*supermarket_sales_new[[#This Row],[Quantity]])+supermarket_sales_new[[#This Row],[Tax 5%]]</f>
        <v>28858.2</v>
      </c>
    </row>
    <row r="199" spans="1:10" x14ac:dyDescent="0.35">
      <c r="A199" t="s">
        <v>9</v>
      </c>
      <c r="B199" t="s">
        <v>221</v>
      </c>
      <c r="C199" t="s">
        <v>11</v>
      </c>
      <c r="D199" t="s">
        <v>12</v>
      </c>
      <c r="E199" t="s">
        <v>18</v>
      </c>
      <c r="F199" t="s">
        <v>22</v>
      </c>
      <c r="G199" s="1">
        <v>5653</v>
      </c>
      <c r="H199">
        <v>4</v>
      </c>
      <c r="I199" s="1">
        <f>supermarket_sales_new[[#This Row],[Unit price]]*supermarket_sales_new[[#This Row],[Quantity]]*5%</f>
        <v>1130.6000000000001</v>
      </c>
      <c r="J199" s="1">
        <f>(supermarket_sales_new[[#This Row],[Unit price]]*supermarket_sales_new[[#This Row],[Quantity]])+supermarket_sales_new[[#This Row],[Tax 5%]]</f>
        <v>23742.6</v>
      </c>
    </row>
    <row r="200" spans="1:10" x14ac:dyDescent="0.35">
      <c r="A200" t="s">
        <v>9</v>
      </c>
      <c r="B200" t="s">
        <v>222</v>
      </c>
      <c r="C200" t="s">
        <v>16</v>
      </c>
      <c r="D200" t="s">
        <v>17</v>
      </c>
      <c r="E200" t="s">
        <v>18</v>
      </c>
      <c r="F200" t="s">
        <v>29</v>
      </c>
      <c r="G200" s="1">
        <v>2382</v>
      </c>
      <c r="H200">
        <v>5</v>
      </c>
      <c r="I200" s="1">
        <f>supermarket_sales_new[[#This Row],[Unit price]]*supermarket_sales_new[[#This Row],[Quantity]]*5%</f>
        <v>595.5</v>
      </c>
      <c r="J200" s="1">
        <f>(supermarket_sales_new[[#This Row],[Unit price]]*supermarket_sales_new[[#This Row],[Quantity]])+supermarket_sales_new[[#This Row],[Tax 5%]]</f>
        <v>12505.5</v>
      </c>
    </row>
    <row r="201" spans="1:10" x14ac:dyDescent="0.35">
      <c r="A201" t="s">
        <v>9</v>
      </c>
      <c r="B201" t="s">
        <v>223</v>
      </c>
      <c r="C201" t="s">
        <v>25</v>
      </c>
      <c r="D201" t="s">
        <v>26</v>
      </c>
      <c r="E201" t="s">
        <v>18</v>
      </c>
      <c r="F201" t="s">
        <v>14</v>
      </c>
      <c r="G201" s="1">
        <v>3421</v>
      </c>
      <c r="H201">
        <v>10</v>
      </c>
      <c r="I201" s="1">
        <f>supermarket_sales_new[[#This Row],[Unit price]]*supermarket_sales_new[[#This Row],[Quantity]]*5%</f>
        <v>1710.5</v>
      </c>
      <c r="J201" s="1">
        <f>(supermarket_sales_new[[#This Row],[Unit price]]*supermarket_sales_new[[#This Row],[Quantity]])+supermarket_sales_new[[#This Row],[Tax 5%]]</f>
        <v>35920.5</v>
      </c>
    </row>
    <row r="202" spans="1:10" x14ac:dyDescent="0.35">
      <c r="A202" t="s">
        <v>9</v>
      </c>
      <c r="B202" t="s">
        <v>224</v>
      </c>
      <c r="C202" t="s">
        <v>16</v>
      </c>
      <c r="D202" t="s">
        <v>17</v>
      </c>
      <c r="E202" t="s">
        <v>18</v>
      </c>
      <c r="F202" t="s">
        <v>22</v>
      </c>
      <c r="G202" s="1">
        <v>4538</v>
      </c>
      <c r="H202">
        <v>4</v>
      </c>
      <c r="I202" s="1">
        <f>supermarket_sales_new[[#This Row],[Unit price]]*supermarket_sales_new[[#This Row],[Quantity]]*5%</f>
        <v>907.6</v>
      </c>
      <c r="J202" s="1">
        <f>(supermarket_sales_new[[#This Row],[Unit price]]*supermarket_sales_new[[#This Row],[Quantity]])+supermarket_sales_new[[#This Row],[Tax 5%]]</f>
        <v>19059.599999999999</v>
      </c>
    </row>
    <row r="203" spans="1:10" x14ac:dyDescent="0.35">
      <c r="A203" t="s">
        <v>9</v>
      </c>
      <c r="B203" t="s">
        <v>225</v>
      </c>
      <c r="C203" t="s">
        <v>16</v>
      </c>
      <c r="D203" t="s">
        <v>17</v>
      </c>
      <c r="E203" t="s">
        <v>13</v>
      </c>
      <c r="F203" t="s">
        <v>14</v>
      </c>
      <c r="G203" s="1">
        <v>8151</v>
      </c>
      <c r="H203">
        <v>1</v>
      </c>
      <c r="I203" s="1">
        <f>supermarket_sales_new[[#This Row],[Unit price]]*supermarket_sales_new[[#This Row],[Quantity]]*5%</f>
        <v>407.55</v>
      </c>
      <c r="J203" s="1">
        <f>(supermarket_sales_new[[#This Row],[Unit price]]*supermarket_sales_new[[#This Row],[Quantity]])+supermarket_sales_new[[#This Row],[Tax 5%]]</f>
        <v>8558.5499999999993</v>
      </c>
    </row>
    <row r="204" spans="1:10" x14ac:dyDescent="0.35">
      <c r="A204" t="s">
        <v>9</v>
      </c>
      <c r="B204" t="s">
        <v>226</v>
      </c>
      <c r="C204" t="s">
        <v>25</v>
      </c>
      <c r="D204" t="s">
        <v>26</v>
      </c>
      <c r="E204" t="s">
        <v>18</v>
      </c>
      <c r="F204" t="s">
        <v>14</v>
      </c>
      <c r="G204" s="1">
        <v>5722</v>
      </c>
      <c r="H204">
        <v>2</v>
      </c>
      <c r="I204" s="1">
        <f>supermarket_sales_new[[#This Row],[Unit price]]*supermarket_sales_new[[#This Row],[Quantity]]*5%</f>
        <v>572.20000000000005</v>
      </c>
      <c r="J204" s="1">
        <f>(supermarket_sales_new[[#This Row],[Unit price]]*supermarket_sales_new[[#This Row],[Quantity]])+supermarket_sales_new[[#This Row],[Tax 5%]]</f>
        <v>12016.2</v>
      </c>
    </row>
    <row r="205" spans="1:10" x14ac:dyDescent="0.35">
      <c r="A205" t="s">
        <v>9</v>
      </c>
      <c r="B205" t="s">
        <v>227</v>
      </c>
      <c r="C205" t="s">
        <v>11</v>
      </c>
      <c r="D205" t="s">
        <v>12</v>
      </c>
      <c r="E205" t="s">
        <v>13</v>
      </c>
      <c r="F205" t="s">
        <v>19</v>
      </c>
      <c r="G205" s="1">
        <v>2522</v>
      </c>
      <c r="H205">
        <v>7</v>
      </c>
      <c r="I205" s="1">
        <f>supermarket_sales_new[[#This Row],[Unit price]]*supermarket_sales_new[[#This Row],[Quantity]]*5%</f>
        <v>882.7</v>
      </c>
      <c r="J205" s="1">
        <f>(supermarket_sales_new[[#This Row],[Unit price]]*supermarket_sales_new[[#This Row],[Quantity]])+supermarket_sales_new[[#This Row],[Tax 5%]]</f>
        <v>18536.7</v>
      </c>
    </row>
    <row r="206" spans="1:10" x14ac:dyDescent="0.35">
      <c r="A206" t="s">
        <v>9</v>
      </c>
      <c r="B206" t="s">
        <v>228</v>
      </c>
      <c r="C206" t="s">
        <v>16</v>
      </c>
      <c r="D206" t="s">
        <v>17</v>
      </c>
      <c r="E206" t="s">
        <v>13</v>
      </c>
      <c r="F206" t="s">
        <v>27</v>
      </c>
      <c r="G206" s="1">
        <v>386</v>
      </c>
      <c r="H206">
        <v>3</v>
      </c>
      <c r="I206" s="1">
        <f>supermarket_sales_new[[#This Row],[Unit price]]*supermarket_sales_new[[#This Row],[Quantity]]*5%</f>
        <v>57.900000000000006</v>
      </c>
      <c r="J206" s="1">
        <f>(supermarket_sales_new[[#This Row],[Unit price]]*supermarket_sales_new[[#This Row],[Quantity]])+supermarket_sales_new[[#This Row],[Tax 5%]]</f>
        <v>1215.9000000000001</v>
      </c>
    </row>
    <row r="207" spans="1:10" x14ac:dyDescent="0.35">
      <c r="A207" t="s">
        <v>9</v>
      </c>
      <c r="B207" t="s">
        <v>229</v>
      </c>
      <c r="C207" t="s">
        <v>16</v>
      </c>
      <c r="D207" t="s">
        <v>17</v>
      </c>
      <c r="E207" t="s">
        <v>18</v>
      </c>
      <c r="F207" t="s">
        <v>19</v>
      </c>
      <c r="G207" s="1">
        <v>8405</v>
      </c>
      <c r="H207">
        <v>3</v>
      </c>
      <c r="I207" s="1">
        <f>supermarket_sales_new[[#This Row],[Unit price]]*supermarket_sales_new[[#This Row],[Quantity]]*5%</f>
        <v>1260.75</v>
      </c>
      <c r="J207" s="1">
        <f>(supermarket_sales_new[[#This Row],[Unit price]]*supermarket_sales_new[[#This Row],[Quantity]])+supermarket_sales_new[[#This Row],[Tax 5%]]</f>
        <v>26475.75</v>
      </c>
    </row>
    <row r="208" spans="1:10" x14ac:dyDescent="0.35">
      <c r="A208" t="s">
        <v>9</v>
      </c>
      <c r="B208" t="s">
        <v>230</v>
      </c>
      <c r="C208" t="s">
        <v>16</v>
      </c>
      <c r="D208" t="s">
        <v>17</v>
      </c>
      <c r="E208" t="s">
        <v>13</v>
      </c>
      <c r="F208" t="s">
        <v>29</v>
      </c>
      <c r="G208" s="1">
        <v>9721</v>
      </c>
      <c r="H208">
        <v>10</v>
      </c>
      <c r="I208" s="1">
        <f>supermarket_sales_new[[#This Row],[Unit price]]*supermarket_sales_new[[#This Row],[Quantity]]*5%</f>
        <v>4860.5</v>
      </c>
      <c r="J208" s="1">
        <f>(supermarket_sales_new[[#This Row],[Unit price]]*supermarket_sales_new[[#This Row],[Quantity]])+supermarket_sales_new[[#This Row],[Tax 5%]]</f>
        <v>102070.5</v>
      </c>
    </row>
    <row r="209" spans="1:10" x14ac:dyDescent="0.35">
      <c r="A209" t="s">
        <v>9</v>
      </c>
      <c r="B209" t="s">
        <v>231</v>
      </c>
      <c r="C209" t="s">
        <v>25</v>
      </c>
      <c r="D209" t="s">
        <v>26</v>
      </c>
      <c r="E209" t="s">
        <v>13</v>
      </c>
      <c r="F209" t="s">
        <v>27</v>
      </c>
      <c r="G209" s="1">
        <v>2087</v>
      </c>
      <c r="H209">
        <v>3</v>
      </c>
      <c r="I209" s="1">
        <f>supermarket_sales_new[[#This Row],[Unit price]]*supermarket_sales_new[[#This Row],[Quantity]]*5%</f>
        <v>313.05</v>
      </c>
      <c r="J209" s="1">
        <f>(supermarket_sales_new[[#This Row],[Unit price]]*supermarket_sales_new[[#This Row],[Quantity]])+supermarket_sales_new[[#This Row],[Tax 5%]]</f>
        <v>6574.05</v>
      </c>
    </row>
    <row r="210" spans="1:10" x14ac:dyDescent="0.35">
      <c r="A210" t="s">
        <v>9</v>
      </c>
      <c r="B210" t="s">
        <v>232</v>
      </c>
      <c r="C210" t="s">
        <v>11</v>
      </c>
      <c r="D210" t="s">
        <v>12</v>
      </c>
      <c r="E210" t="s">
        <v>13</v>
      </c>
      <c r="F210" t="s">
        <v>22</v>
      </c>
      <c r="G210" s="1">
        <v>9065</v>
      </c>
      <c r="H210">
        <v>10</v>
      </c>
      <c r="I210" s="1">
        <f>supermarket_sales_new[[#This Row],[Unit price]]*supermarket_sales_new[[#This Row],[Quantity]]*5%</f>
        <v>4532.5</v>
      </c>
      <c r="J210" s="1">
        <f>(supermarket_sales_new[[#This Row],[Unit price]]*supermarket_sales_new[[#This Row],[Quantity]])+supermarket_sales_new[[#This Row],[Tax 5%]]</f>
        <v>95182.5</v>
      </c>
    </row>
    <row r="211" spans="1:10" x14ac:dyDescent="0.35">
      <c r="A211" t="s">
        <v>9</v>
      </c>
      <c r="B211" t="s">
        <v>233</v>
      </c>
      <c r="C211" t="s">
        <v>11</v>
      </c>
      <c r="D211" t="s">
        <v>12</v>
      </c>
      <c r="E211" t="s">
        <v>18</v>
      </c>
      <c r="F211" t="s">
        <v>19</v>
      </c>
      <c r="G211" s="1">
        <v>2346</v>
      </c>
      <c r="H211">
        <v>6</v>
      </c>
      <c r="I211" s="1">
        <f>supermarket_sales_new[[#This Row],[Unit price]]*supermarket_sales_new[[#This Row],[Quantity]]*5%</f>
        <v>703.80000000000007</v>
      </c>
      <c r="J211" s="1">
        <f>(supermarket_sales_new[[#This Row],[Unit price]]*supermarket_sales_new[[#This Row],[Quantity]])+supermarket_sales_new[[#This Row],[Tax 5%]]</f>
        <v>14779.8</v>
      </c>
    </row>
    <row r="212" spans="1:10" x14ac:dyDescent="0.35">
      <c r="A212" t="s">
        <v>9</v>
      </c>
      <c r="B212" t="s">
        <v>234</v>
      </c>
      <c r="C212" t="s">
        <v>25</v>
      </c>
      <c r="D212" t="s">
        <v>26</v>
      </c>
      <c r="E212" t="s">
        <v>18</v>
      </c>
      <c r="F212" t="s">
        <v>29</v>
      </c>
      <c r="G212" s="1">
        <v>4744</v>
      </c>
      <c r="H212">
        <v>1</v>
      </c>
      <c r="I212" s="1">
        <f>supermarket_sales_new[[#This Row],[Unit price]]*supermarket_sales_new[[#This Row],[Quantity]]*5%</f>
        <v>237.20000000000002</v>
      </c>
      <c r="J212" s="1">
        <f>(supermarket_sales_new[[#This Row],[Unit price]]*supermarket_sales_new[[#This Row],[Quantity]])+supermarket_sales_new[[#This Row],[Tax 5%]]</f>
        <v>4981.2</v>
      </c>
    </row>
    <row r="213" spans="1:10" x14ac:dyDescent="0.35">
      <c r="A213" t="s">
        <v>9</v>
      </c>
      <c r="B213" t="s">
        <v>235</v>
      </c>
      <c r="C213" t="s">
        <v>16</v>
      </c>
      <c r="D213" t="s">
        <v>17</v>
      </c>
      <c r="E213" t="s">
        <v>18</v>
      </c>
      <c r="F213" t="s">
        <v>19</v>
      </c>
      <c r="G213" s="1">
        <v>4086</v>
      </c>
      <c r="H213">
        <v>8</v>
      </c>
      <c r="I213" s="1">
        <f>supermarket_sales_new[[#This Row],[Unit price]]*supermarket_sales_new[[#This Row],[Quantity]]*5%</f>
        <v>1634.4</v>
      </c>
      <c r="J213" s="1">
        <f>(supermarket_sales_new[[#This Row],[Unit price]]*supermarket_sales_new[[#This Row],[Quantity]])+supermarket_sales_new[[#This Row],[Tax 5%]]</f>
        <v>34322.400000000001</v>
      </c>
    </row>
    <row r="214" spans="1:10" x14ac:dyDescent="0.35">
      <c r="A214" t="s">
        <v>9</v>
      </c>
      <c r="B214" t="s">
        <v>236</v>
      </c>
      <c r="C214" t="s">
        <v>25</v>
      </c>
      <c r="D214" t="s">
        <v>26</v>
      </c>
      <c r="E214" t="s">
        <v>13</v>
      </c>
      <c r="F214" t="s">
        <v>33</v>
      </c>
      <c r="G214" s="1">
        <v>8843</v>
      </c>
      <c r="H214">
        <v>8</v>
      </c>
      <c r="I214" s="1">
        <f>supermarket_sales_new[[#This Row],[Unit price]]*supermarket_sales_new[[#This Row],[Quantity]]*5%</f>
        <v>3537.2000000000003</v>
      </c>
      <c r="J214" s="1">
        <f>(supermarket_sales_new[[#This Row],[Unit price]]*supermarket_sales_new[[#This Row],[Quantity]])+supermarket_sales_new[[#This Row],[Tax 5%]]</f>
        <v>74281.2</v>
      </c>
    </row>
    <row r="215" spans="1:10" x14ac:dyDescent="0.35">
      <c r="A215" t="s">
        <v>9</v>
      </c>
      <c r="B215" t="s">
        <v>237</v>
      </c>
      <c r="C215" t="s">
        <v>11</v>
      </c>
      <c r="D215" t="s">
        <v>12</v>
      </c>
      <c r="E215" t="s">
        <v>13</v>
      </c>
      <c r="F215" t="s">
        <v>22</v>
      </c>
      <c r="G215" s="1">
        <v>8921</v>
      </c>
      <c r="H215">
        <v>9</v>
      </c>
      <c r="I215" s="1">
        <f>supermarket_sales_new[[#This Row],[Unit price]]*supermarket_sales_new[[#This Row],[Quantity]]*5%</f>
        <v>4014.4500000000003</v>
      </c>
      <c r="J215" s="1">
        <f>(supermarket_sales_new[[#This Row],[Unit price]]*supermarket_sales_new[[#This Row],[Quantity]])+supermarket_sales_new[[#This Row],[Tax 5%]]</f>
        <v>84303.45</v>
      </c>
    </row>
    <row r="216" spans="1:10" x14ac:dyDescent="0.35">
      <c r="A216" t="s">
        <v>9</v>
      </c>
      <c r="B216" t="s">
        <v>238</v>
      </c>
      <c r="C216" t="s">
        <v>11</v>
      </c>
      <c r="D216" t="s">
        <v>12</v>
      </c>
      <c r="E216" t="s">
        <v>18</v>
      </c>
      <c r="F216" t="s">
        <v>33</v>
      </c>
      <c r="G216" s="1">
        <v>191</v>
      </c>
      <c r="H216">
        <v>7</v>
      </c>
      <c r="I216" s="1">
        <f>supermarket_sales_new[[#This Row],[Unit price]]*supermarket_sales_new[[#This Row],[Quantity]]*5%</f>
        <v>66.850000000000009</v>
      </c>
      <c r="J216" s="1">
        <f>(supermarket_sales_new[[#This Row],[Unit price]]*supermarket_sales_new[[#This Row],[Quantity]])+supermarket_sales_new[[#This Row],[Tax 5%]]</f>
        <v>1403.85</v>
      </c>
    </row>
    <row r="217" spans="1:10" x14ac:dyDescent="0.35">
      <c r="A217" t="s">
        <v>9</v>
      </c>
      <c r="B217" t="s">
        <v>239</v>
      </c>
      <c r="C217" t="s">
        <v>25</v>
      </c>
      <c r="D217" t="s">
        <v>26</v>
      </c>
      <c r="E217" t="s">
        <v>13</v>
      </c>
      <c r="F217" t="s">
        <v>14</v>
      </c>
      <c r="G217" s="1">
        <v>1915</v>
      </c>
      <c r="H217">
        <v>1</v>
      </c>
      <c r="I217" s="1">
        <f>supermarket_sales_new[[#This Row],[Unit price]]*supermarket_sales_new[[#This Row],[Quantity]]*5%</f>
        <v>95.75</v>
      </c>
      <c r="J217" s="1">
        <f>(supermarket_sales_new[[#This Row],[Unit price]]*supermarket_sales_new[[#This Row],[Quantity]])+supermarket_sales_new[[#This Row],[Tax 5%]]</f>
        <v>2010.75</v>
      </c>
    </row>
    <row r="218" spans="1:10" x14ac:dyDescent="0.35">
      <c r="A218" t="s">
        <v>9</v>
      </c>
      <c r="B218" t="s">
        <v>240</v>
      </c>
      <c r="C218" t="s">
        <v>25</v>
      </c>
      <c r="D218" t="s">
        <v>26</v>
      </c>
      <c r="E218" t="s">
        <v>13</v>
      </c>
      <c r="F218" t="s">
        <v>14</v>
      </c>
      <c r="G218" s="1">
        <v>2707</v>
      </c>
      <c r="H218">
        <v>1</v>
      </c>
      <c r="I218" s="1">
        <f>supermarket_sales_new[[#This Row],[Unit price]]*supermarket_sales_new[[#This Row],[Quantity]]*5%</f>
        <v>135.35</v>
      </c>
      <c r="J218" s="1">
        <f>(supermarket_sales_new[[#This Row],[Unit price]]*supermarket_sales_new[[#This Row],[Quantity]])+supermarket_sales_new[[#This Row],[Tax 5%]]</f>
        <v>2842.35</v>
      </c>
    </row>
    <row r="219" spans="1:10" x14ac:dyDescent="0.35">
      <c r="A219" t="s">
        <v>9</v>
      </c>
      <c r="B219" t="s">
        <v>241</v>
      </c>
      <c r="C219" t="s">
        <v>25</v>
      </c>
      <c r="D219" t="s">
        <v>26</v>
      </c>
      <c r="E219" t="s">
        <v>13</v>
      </c>
      <c r="F219" t="s">
        <v>33</v>
      </c>
      <c r="G219" s="1">
        <v>3912</v>
      </c>
      <c r="H219">
        <v>1</v>
      </c>
      <c r="I219" s="1">
        <f>supermarket_sales_new[[#This Row],[Unit price]]*supermarket_sales_new[[#This Row],[Quantity]]*5%</f>
        <v>195.60000000000002</v>
      </c>
      <c r="J219" s="1">
        <f>(supermarket_sales_new[[#This Row],[Unit price]]*supermarket_sales_new[[#This Row],[Quantity]])+supermarket_sales_new[[#This Row],[Tax 5%]]</f>
        <v>4107.6000000000004</v>
      </c>
    </row>
    <row r="220" spans="1:10" x14ac:dyDescent="0.35">
      <c r="A220" t="s">
        <v>9</v>
      </c>
      <c r="B220" t="s">
        <v>242</v>
      </c>
      <c r="C220" t="s">
        <v>25</v>
      </c>
      <c r="D220" t="s">
        <v>26</v>
      </c>
      <c r="E220" t="s">
        <v>18</v>
      </c>
      <c r="F220" t="s">
        <v>19</v>
      </c>
      <c r="G220" s="1">
        <v>7471</v>
      </c>
      <c r="H220">
        <v>6</v>
      </c>
      <c r="I220" s="1">
        <f>supermarket_sales_new[[#This Row],[Unit price]]*supermarket_sales_new[[#This Row],[Quantity]]*5%</f>
        <v>2241.3000000000002</v>
      </c>
      <c r="J220" s="1">
        <f>(supermarket_sales_new[[#This Row],[Unit price]]*supermarket_sales_new[[#This Row],[Quantity]])+supermarket_sales_new[[#This Row],[Tax 5%]]</f>
        <v>47067.3</v>
      </c>
    </row>
    <row r="221" spans="1:10" x14ac:dyDescent="0.35">
      <c r="A221" t="s">
        <v>9</v>
      </c>
      <c r="B221" t="s">
        <v>243</v>
      </c>
      <c r="C221" t="s">
        <v>11</v>
      </c>
      <c r="D221" t="s">
        <v>12</v>
      </c>
      <c r="E221" t="s">
        <v>18</v>
      </c>
      <c r="F221" t="s">
        <v>27</v>
      </c>
      <c r="G221" s="1">
        <v>6361</v>
      </c>
      <c r="H221">
        <v>5</v>
      </c>
      <c r="I221" s="1">
        <f>supermarket_sales_new[[#This Row],[Unit price]]*supermarket_sales_new[[#This Row],[Quantity]]*5%</f>
        <v>1590.25</v>
      </c>
      <c r="J221" s="1">
        <f>(supermarket_sales_new[[#This Row],[Unit price]]*supermarket_sales_new[[#This Row],[Quantity]])+supermarket_sales_new[[#This Row],[Tax 5%]]</f>
        <v>33395.25</v>
      </c>
    </row>
    <row r="222" spans="1:10" x14ac:dyDescent="0.35">
      <c r="A222" t="s">
        <v>9</v>
      </c>
      <c r="B222" t="s">
        <v>244</v>
      </c>
      <c r="C222" t="s">
        <v>25</v>
      </c>
      <c r="D222" t="s">
        <v>26</v>
      </c>
      <c r="E222" t="s">
        <v>13</v>
      </c>
      <c r="F222" t="s">
        <v>29</v>
      </c>
      <c r="G222" s="1">
        <v>2956</v>
      </c>
      <c r="H222">
        <v>5</v>
      </c>
      <c r="I222" s="1">
        <f>supermarket_sales_new[[#This Row],[Unit price]]*supermarket_sales_new[[#This Row],[Quantity]]*5%</f>
        <v>739</v>
      </c>
      <c r="J222" s="1">
        <f>(supermarket_sales_new[[#This Row],[Unit price]]*supermarket_sales_new[[#This Row],[Quantity]])+supermarket_sales_new[[#This Row],[Tax 5%]]</f>
        <v>15519</v>
      </c>
    </row>
    <row r="223" spans="1:10" x14ac:dyDescent="0.35">
      <c r="A223" t="s">
        <v>9</v>
      </c>
      <c r="B223" t="s">
        <v>245</v>
      </c>
      <c r="C223" t="s">
        <v>25</v>
      </c>
      <c r="D223" t="s">
        <v>26</v>
      </c>
      <c r="E223" t="s">
        <v>13</v>
      </c>
      <c r="F223" t="s">
        <v>27</v>
      </c>
      <c r="G223" s="1">
        <v>774</v>
      </c>
      <c r="H223">
        <v>9</v>
      </c>
      <c r="I223" s="1">
        <f>supermarket_sales_new[[#This Row],[Unit price]]*supermarket_sales_new[[#This Row],[Quantity]]*5%</f>
        <v>348.3</v>
      </c>
      <c r="J223" s="1">
        <f>(supermarket_sales_new[[#This Row],[Unit price]]*supermarket_sales_new[[#This Row],[Quantity]])+supermarket_sales_new[[#This Row],[Tax 5%]]</f>
        <v>7314.3</v>
      </c>
    </row>
    <row r="224" spans="1:10" x14ac:dyDescent="0.35">
      <c r="A224" t="s">
        <v>9</v>
      </c>
      <c r="B224" t="s">
        <v>246</v>
      </c>
      <c r="C224" t="s">
        <v>16</v>
      </c>
      <c r="D224" t="s">
        <v>17</v>
      </c>
      <c r="E224" t="s">
        <v>13</v>
      </c>
      <c r="F224" t="s">
        <v>19</v>
      </c>
      <c r="G224" s="1">
        <v>4657</v>
      </c>
      <c r="H224">
        <v>10</v>
      </c>
      <c r="I224" s="1">
        <f>supermarket_sales_new[[#This Row],[Unit price]]*supermarket_sales_new[[#This Row],[Quantity]]*5%</f>
        <v>2328.5</v>
      </c>
      <c r="J224" s="1">
        <f>(supermarket_sales_new[[#This Row],[Unit price]]*supermarket_sales_new[[#This Row],[Quantity]])+supermarket_sales_new[[#This Row],[Tax 5%]]</f>
        <v>48898.5</v>
      </c>
    </row>
    <row r="225" spans="1:10" x14ac:dyDescent="0.35">
      <c r="A225" t="s">
        <v>9</v>
      </c>
      <c r="B225" t="s">
        <v>247</v>
      </c>
      <c r="C225" t="s">
        <v>25</v>
      </c>
      <c r="D225" t="s">
        <v>26</v>
      </c>
      <c r="E225" t="s">
        <v>13</v>
      </c>
      <c r="F225" t="s">
        <v>27</v>
      </c>
      <c r="G225" s="1">
        <v>7305</v>
      </c>
      <c r="H225">
        <v>10</v>
      </c>
      <c r="I225" s="1">
        <f>supermarket_sales_new[[#This Row],[Unit price]]*supermarket_sales_new[[#This Row],[Quantity]]*5%</f>
        <v>3652.5</v>
      </c>
      <c r="J225" s="1">
        <f>(supermarket_sales_new[[#This Row],[Unit price]]*supermarket_sales_new[[#This Row],[Quantity]])+supermarket_sales_new[[#This Row],[Tax 5%]]</f>
        <v>76702.5</v>
      </c>
    </row>
    <row r="226" spans="1:10" x14ac:dyDescent="0.35">
      <c r="A226" t="s">
        <v>9</v>
      </c>
      <c r="B226" t="s">
        <v>248</v>
      </c>
      <c r="C226" t="s">
        <v>16</v>
      </c>
      <c r="D226" t="s">
        <v>17</v>
      </c>
      <c r="E226" t="s">
        <v>18</v>
      </c>
      <c r="F226" t="s">
        <v>33</v>
      </c>
      <c r="G226" s="1">
        <v>7395</v>
      </c>
      <c r="H226">
        <v>4</v>
      </c>
      <c r="I226" s="1">
        <f>supermarket_sales_new[[#This Row],[Unit price]]*supermarket_sales_new[[#This Row],[Quantity]]*5%</f>
        <v>1479</v>
      </c>
      <c r="J226" s="1">
        <f>(supermarket_sales_new[[#This Row],[Unit price]]*supermarket_sales_new[[#This Row],[Quantity]])+supermarket_sales_new[[#This Row],[Tax 5%]]</f>
        <v>31059</v>
      </c>
    </row>
    <row r="227" spans="1:10" x14ac:dyDescent="0.35">
      <c r="A227" t="s">
        <v>9</v>
      </c>
      <c r="B227" t="s">
        <v>249</v>
      </c>
      <c r="C227" t="s">
        <v>16</v>
      </c>
      <c r="D227" t="s">
        <v>17</v>
      </c>
      <c r="E227" t="s">
        <v>13</v>
      </c>
      <c r="F227" t="s">
        <v>27</v>
      </c>
      <c r="G227" s="1">
        <v>2262</v>
      </c>
      <c r="H227">
        <v>1</v>
      </c>
      <c r="I227" s="1">
        <f>supermarket_sales_new[[#This Row],[Unit price]]*supermarket_sales_new[[#This Row],[Quantity]]*5%</f>
        <v>113.10000000000001</v>
      </c>
      <c r="J227" s="1">
        <f>(supermarket_sales_new[[#This Row],[Unit price]]*supermarket_sales_new[[#This Row],[Quantity]])+supermarket_sales_new[[#This Row],[Tax 5%]]</f>
        <v>2375.1</v>
      </c>
    </row>
    <row r="228" spans="1:10" x14ac:dyDescent="0.35">
      <c r="A228" t="s">
        <v>9</v>
      </c>
      <c r="B228" t="s">
        <v>250</v>
      </c>
      <c r="C228" t="s">
        <v>16</v>
      </c>
      <c r="D228" t="s">
        <v>17</v>
      </c>
      <c r="E228" t="s">
        <v>13</v>
      </c>
      <c r="F228" t="s">
        <v>33</v>
      </c>
      <c r="G228" s="1">
        <v>5455</v>
      </c>
      <c r="H228">
        <v>10</v>
      </c>
      <c r="I228" s="1">
        <f>supermarket_sales_new[[#This Row],[Unit price]]*supermarket_sales_new[[#This Row],[Quantity]]*5%</f>
        <v>2727.5</v>
      </c>
      <c r="J228" s="1">
        <f>(supermarket_sales_new[[#This Row],[Unit price]]*supermarket_sales_new[[#This Row],[Quantity]])+supermarket_sales_new[[#This Row],[Tax 5%]]</f>
        <v>57277.5</v>
      </c>
    </row>
    <row r="229" spans="1:10" x14ac:dyDescent="0.35">
      <c r="A229" t="s">
        <v>9</v>
      </c>
      <c r="B229" t="s">
        <v>251</v>
      </c>
      <c r="C229" t="s">
        <v>16</v>
      </c>
      <c r="D229" t="s">
        <v>17</v>
      </c>
      <c r="E229" t="s">
        <v>13</v>
      </c>
      <c r="F229" t="s">
        <v>14</v>
      </c>
      <c r="G229" s="1">
        <v>3715</v>
      </c>
      <c r="H229">
        <v>7</v>
      </c>
      <c r="I229" s="1">
        <f>supermarket_sales_new[[#This Row],[Unit price]]*supermarket_sales_new[[#This Row],[Quantity]]*5%</f>
        <v>1300.25</v>
      </c>
      <c r="J229" s="1">
        <f>(supermarket_sales_new[[#This Row],[Unit price]]*supermarket_sales_new[[#This Row],[Quantity]])+supermarket_sales_new[[#This Row],[Tax 5%]]</f>
        <v>27305.25</v>
      </c>
    </row>
    <row r="230" spans="1:10" x14ac:dyDescent="0.35">
      <c r="A230" t="s">
        <v>9</v>
      </c>
      <c r="B230" t="s">
        <v>252</v>
      </c>
      <c r="C230" t="s">
        <v>16</v>
      </c>
      <c r="D230" t="s">
        <v>17</v>
      </c>
      <c r="E230" t="s">
        <v>13</v>
      </c>
      <c r="F230" t="s">
        <v>19</v>
      </c>
      <c r="G230" s="1">
        <v>9884</v>
      </c>
      <c r="H230">
        <v>1</v>
      </c>
      <c r="I230" s="1">
        <f>supermarket_sales_new[[#This Row],[Unit price]]*supermarket_sales_new[[#This Row],[Quantity]]*5%</f>
        <v>494.20000000000005</v>
      </c>
      <c r="J230" s="1">
        <f>(supermarket_sales_new[[#This Row],[Unit price]]*supermarket_sales_new[[#This Row],[Quantity]])+supermarket_sales_new[[#This Row],[Tax 5%]]</f>
        <v>10378.200000000001</v>
      </c>
    </row>
    <row r="231" spans="1:10" x14ac:dyDescent="0.35">
      <c r="A231" t="s">
        <v>9</v>
      </c>
      <c r="B231" t="s">
        <v>253</v>
      </c>
      <c r="C231" t="s">
        <v>16</v>
      </c>
      <c r="D231" t="s">
        <v>17</v>
      </c>
      <c r="E231" t="s">
        <v>13</v>
      </c>
      <c r="F231" t="s">
        <v>22</v>
      </c>
      <c r="G231" s="1">
        <v>8377</v>
      </c>
      <c r="H231">
        <v>6</v>
      </c>
      <c r="I231" s="1">
        <f>supermarket_sales_new[[#This Row],[Unit price]]*supermarket_sales_new[[#This Row],[Quantity]]*5%</f>
        <v>2513.1000000000004</v>
      </c>
      <c r="J231" s="1">
        <f>(supermarket_sales_new[[#This Row],[Unit price]]*supermarket_sales_new[[#This Row],[Quantity]])+supermarket_sales_new[[#This Row],[Tax 5%]]</f>
        <v>52775.1</v>
      </c>
    </row>
    <row r="232" spans="1:10" x14ac:dyDescent="0.35">
      <c r="A232" t="s">
        <v>9</v>
      </c>
      <c r="B232" t="s">
        <v>254</v>
      </c>
      <c r="C232" t="s">
        <v>11</v>
      </c>
      <c r="D232" t="s">
        <v>12</v>
      </c>
      <c r="E232" t="s">
        <v>13</v>
      </c>
      <c r="F232" t="s">
        <v>33</v>
      </c>
      <c r="G232" s="1">
        <v>4005</v>
      </c>
      <c r="H232">
        <v>4</v>
      </c>
      <c r="I232" s="1">
        <f>supermarket_sales_new[[#This Row],[Unit price]]*supermarket_sales_new[[#This Row],[Quantity]]*5%</f>
        <v>801</v>
      </c>
      <c r="J232" s="1">
        <f>(supermarket_sales_new[[#This Row],[Unit price]]*supermarket_sales_new[[#This Row],[Quantity]])+supermarket_sales_new[[#This Row],[Tax 5%]]</f>
        <v>16821</v>
      </c>
    </row>
    <row r="233" spans="1:10" x14ac:dyDescent="0.35">
      <c r="A233" t="s">
        <v>9</v>
      </c>
      <c r="B233" t="s">
        <v>255</v>
      </c>
      <c r="C233" t="s">
        <v>11</v>
      </c>
      <c r="D233" t="s">
        <v>12</v>
      </c>
      <c r="E233" t="s">
        <v>13</v>
      </c>
      <c r="F233" t="s">
        <v>19</v>
      </c>
      <c r="G233" s="1">
        <v>6444</v>
      </c>
      <c r="H233">
        <v>5</v>
      </c>
      <c r="I233" s="1">
        <f>supermarket_sales_new[[#This Row],[Unit price]]*supermarket_sales_new[[#This Row],[Quantity]]*5%</f>
        <v>1611</v>
      </c>
      <c r="J233" s="1">
        <f>(supermarket_sales_new[[#This Row],[Unit price]]*supermarket_sales_new[[#This Row],[Quantity]])+supermarket_sales_new[[#This Row],[Tax 5%]]</f>
        <v>33831</v>
      </c>
    </row>
    <row r="234" spans="1:10" x14ac:dyDescent="0.35">
      <c r="A234" t="s">
        <v>9</v>
      </c>
      <c r="B234" t="s">
        <v>256</v>
      </c>
      <c r="C234" t="s">
        <v>11</v>
      </c>
      <c r="D234" t="s">
        <v>12</v>
      </c>
      <c r="E234" t="s">
        <v>18</v>
      </c>
      <c r="F234" t="s">
        <v>33</v>
      </c>
      <c r="G234" s="1">
        <v>3326</v>
      </c>
      <c r="H234">
        <v>5</v>
      </c>
      <c r="I234" s="1">
        <f>supermarket_sales_new[[#This Row],[Unit price]]*supermarket_sales_new[[#This Row],[Quantity]]*5%</f>
        <v>831.5</v>
      </c>
      <c r="J234" s="1">
        <f>(supermarket_sales_new[[#This Row],[Unit price]]*supermarket_sales_new[[#This Row],[Quantity]])+supermarket_sales_new[[#This Row],[Tax 5%]]</f>
        <v>17461.5</v>
      </c>
    </row>
    <row r="235" spans="1:10" x14ac:dyDescent="0.35">
      <c r="A235" t="s">
        <v>9</v>
      </c>
      <c r="B235" t="s">
        <v>257</v>
      </c>
      <c r="C235" t="s">
        <v>16</v>
      </c>
      <c r="D235" t="s">
        <v>17</v>
      </c>
      <c r="E235" t="s">
        <v>18</v>
      </c>
      <c r="F235" t="s">
        <v>19</v>
      </c>
      <c r="G235" s="1">
        <v>328</v>
      </c>
      <c r="H235">
        <v>10</v>
      </c>
      <c r="I235" s="1">
        <f>supermarket_sales_new[[#This Row],[Unit price]]*supermarket_sales_new[[#This Row],[Quantity]]*5%</f>
        <v>164</v>
      </c>
      <c r="J235" s="1">
        <f>(supermarket_sales_new[[#This Row],[Unit price]]*supermarket_sales_new[[#This Row],[Quantity]])+supermarket_sales_new[[#This Row],[Tax 5%]]</f>
        <v>3444</v>
      </c>
    </row>
    <row r="236" spans="1:10" x14ac:dyDescent="0.35">
      <c r="A236" t="s">
        <v>9</v>
      </c>
      <c r="B236" t="s">
        <v>258</v>
      </c>
      <c r="C236" t="s">
        <v>16</v>
      </c>
      <c r="D236" t="s">
        <v>17</v>
      </c>
      <c r="E236" t="s">
        <v>13</v>
      </c>
      <c r="F236" t="s">
        <v>33</v>
      </c>
      <c r="G236" s="1">
        <v>3698</v>
      </c>
      <c r="H236">
        <v>10</v>
      </c>
      <c r="I236" s="1">
        <f>supermarket_sales_new[[#This Row],[Unit price]]*supermarket_sales_new[[#This Row],[Quantity]]*5%</f>
        <v>1849</v>
      </c>
      <c r="J236" s="1">
        <f>(supermarket_sales_new[[#This Row],[Unit price]]*supermarket_sales_new[[#This Row],[Quantity]])+supermarket_sales_new[[#This Row],[Tax 5%]]</f>
        <v>38829</v>
      </c>
    </row>
    <row r="237" spans="1:10" x14ac:dyDescent="0.35">
      <c r="A237" t="s">
        <v>9</v>
      </c>
      <c r="B237" t="s">
        <v>259</v>
      </c>
      <c r="C237" t="s">
        <v>25</v>
      </c>
      <c r="D237" t="s">
        <v>26</v>
      </c>
      <c r="E237" t="s">
        <v>13</v>
      </c>
      <c r="F237" t="s">
        <v>33</v>
      </c>
      <c r="G237" s="1">
        <v>4949</v>
      </c>
      <c r="H237">
        <v>4</v>
      </c>
      <c r="I237" s="1">
        <f>supermarket_sales_new[[#This Row],[Unit price]]*supermarket_sales_new[[#This Row],[Quantity]]*5%</f>
        <v>989.80000000000007</v>
      </c>
      <c r="J237" s="1">
        <f>(supermarket_sales_new[[#This Row],[Unit price]]*supermarket_sales_new[[#This Row],[Quantity]])+supermarket_sales_new[[#This Row],[Tax 5%]]</f>
        <v>20785.8</v>
      </c>
    </row>
    <row r="238" spans="1:10" x14ac:dyDescent="0.35">
      <c r="A238" t="s">
        <v>9</v>
      </c>
      <c r="B238" t="s">
        <v>260</v>
      </c>
      <c r="C238" t="s">
        <v>25</v>
      </c>
      <c r="D238" t="s">
        <v>26</v>
      </c>
      <c r="E238" t="s">
        <v>18</v>
      </c>
      <c r="F238" t="s">
        <v>29</v>
      </c>
      <c r="G238" s="1">
        <v>4109</v>
      </c>
      <c r="H238">
        <v>10</v>
      </c>
      <c r="I238" s="1">
        <f>supermarket_sales_new[[#This Row],[Unit price]]*supermarket_sales_new[[#This Row],[Quantity]]*5%</f>
        <v>2054.5</v>
      </c>
      <c r="J238" s="1">
        <f>(supermarket_sales_new[[#This Row],[Unit price]]*supermarket_sales_new[[#This Row],[Quantity]])+supermarket_sales_new[[#This Row],[Tax 5%]]</f>
        <v>43144.5</v>
      </c>
    </row>
    <row r="239" spans="1:10" x14ac:dyDescent="0.35">
      <c r="A239" t="s">
        <v>9</v>
      </c>
      <c r="B239" t="s">
        <v>261</v>
      </c>
      <c r="C239" t="s">
        <v>25</v>
      </c>
      <c r="D239" t="s">
        <v>26</v>
      </c>
      <c r="E239" t="s">
        <v>13</v>
      </c>
      <c r="F239" t="s">
        <v>22</v>
      </c>
      <c r="G239" s="1">
        <v>7768</v>
      </c>
      <c r="H239">
        <v>9</v>
      </c>
      <c r="I239" s="1">
        <f>supermarket_sales_new[[#This Row],[Unit price]]*supermarket_sales_new[[#This Row],[Quantity]]*5%</f>
        <v>3495.6000000000004</v>
      </c>
      <c r="J239" s="1">
        <f>(supermarket_sales_new[[#This Row],[Unit price]]*supermarket_sales_new[[#This Row],[Quantity]])+supermarket_sales_new[[#This Row],[Tax 5%]]</f>
        <v>73407.600000000006</v>
      </c>
    </row>
    <row r="240" spans="1:10" x14ac:dyDescent="0.35">
      <c r="A240" t="s">
        <v>9</v>
      </c>
      <c r="B240" t="s">
        <v>262</v>
      </c>
      <c r="C240" t="s">
        <v>25</v>
      </c>
      <c r="D240" t="s">
        <v>26</v>
      </c>
      <c r="E240" t="s">
        <v>18</v>
      </c>
      <c r="F240" t="s">
        <v>29</v>
      </c>
      <c r="G240" s="1">
        <v>347</v>
      </c>
      <c r="H240">
        <v>2</v>
      </c>
      <c r="I240" s="1">
        <f>supermarket_sales_new[[#This Row],[Unit price]]*supermarket_sales_new[[#This Row],[Quantity]]*5%</f>
        <v>34.700000000000003</v>
      </c>
      <c r="J240" s="1">
        <f>(supermarket_sales_new[[#This Row],[Unit price]]*supermarket_sales_new[[#This Row],[Quantity]])+supermarket_sales_new[[#This Row],[Tax 5%]]</f>
        <v>728.7</v>
      </c>
    </row>
    <row r="241" spans="1:10" x14ac:dyDescent="0.35">
      <c r="A241" t="s">
        <v>9</v>
      </c>
      <c r="B241" t="s">
        <v>263</v>
      </c>
      <c r="C241" t="s">
        <v>11</v>
      </c>
      <c r="D241" t="s">
        <v>12</v>
      </c>
      <c r="E241" t="s">
        <v>13</v>
      </c>
      <c r="F241" t="s">
        <v>29</v>
      </c>
      <c r="G241" s="1">
        <v>1966</v>
      </c>
      <c r="H241">
        <v>10</v>
      </c>
      <c r="I241" s="1">
        <f>supermarket_sales_new[[#This Row],[Unit price]]*supermarket_sales_new[[#This Row],[Quantity]]*5%</f>
        <v>983</v>
      </c>
      <c r="J241" s="1">
        <f>(supermarket_sales_new[[#This Row],[Unit price]]*supermarket_sales_new[[#This Row],[Quantity]])+supermarket_sales_new[[#This Row],[Tax 5%]]</f>
        <v>20643</v>
      </c>
    </row>
    <row r="242" spans="1:10" x14ac:dyDescent="0.35">
      <c r="A242" t="s">
        <v>9</v>
      </c>
      <c r="B242" t="s">
        <v>264</v>
      </c>
      <c r="C242" t="s">
        <v>25</v>
      </c>
      <c r="D242" t="s">
        <v>26</v>
      </c>
      <c r="E242" t="s">
        <v>13</v>
      </c>
      <c r="F242" t="s">
        <v>14</v>
      </c>
      <c r="G242" s="1">
        <v>2532</v>
      </c>
      <c r="H242">
        <v>8</v>
      </c>
      <c r="I242" s="1">
        <f>supermarket_sales_new[[#This Row],[Unit price]]*supermarket_sales_new[[#This Row],[Quantity]]*5%</f>
        <v>1012.8000000000001</v>
      </c>
      <c r="J242" s="1">
        <f>(supermarket_sales_new[[#This Row],[Unit price]]*supermarket_sales_new[[#This Row],[Quantity]])+supermarket_sales_new[[#This Row],[Tax 5%]]</f>
        <v>21268.799999999999</v>
      </c>
    </row>
    <row r="243" spans="1:10" x14ac:dyDescent="0.35">
      <c r="A243" t="s">
        <v>9</v>
      </c>
      <c r="B243" t="s">
        <v>265</v>
      </c>
      <c r="C243" t="s">
        <v>16</v>
      </c>
      <c r="D243" t="s">
        <v>17</v>
      </c>
      <c r="E243" t="s">
        <v>13</v>
      </c>
      <c r="F243" t="s">
        <v>22</v>
      </c>
      <c r="G243" s="1">
        <v>1212</v>
      </c>
      <c r="H243">
        <v>10</v>
      </c>
      <c r="I243" s="1">
        <f>supermarket_sales_new[[#This Row],[Unit price]]*supermarket_sales_new[[#This Row],[Quantity]]*5%</f>
        <v>606</v>
      </c>
      <c r="J243" s="1">
        <f>(supermarket_sales_new[[#This Row],[Unit price]]*supermarket_sales_new[[#This Row],[Quantity]])+supermarket_sales_new[[#This Row],[Tax 5%]]</f>
        <v>12726</v>
      </c>
    </row>
    <row r="244" spans="1:10" x14ac:dyDescent="0.35">
      <c r="A244" t="s">
        <v>9</v>
      </c>
      <c r="B244" t="s">
        <v>266</v>
      </c>
      <c r="C244" t="s">
        <v>16</v>
      </c>
      <c r="D244" t="s">
        <v>17</v>
      </c>
      <c r="E244" t="s">
        <v>18</v>
      </c>
      <c r="F244" t="s">
        <v>19</v>
      </c>
      <c r="G244" s="1">
        <v>6322</v>
      </c>
      <c r="H244">
        <v>2</v>
      </c>
      <c r="I244" s="1">
        <f>supermarket_sales_new[[#This Row],[Unit price]]*supermarket_sales_new[[#This Row],[Quantity]]*5%</f>
        <v>632.20000000000005</v>
      </c>
      <c r="J244" s="1">
        <f>(supermarket_sales_new[[#This Row],[Unit price]]*supermarket_sales_new[[#This Row],[Quantity]])+supermarket_sales_new[[#This Row],[Tax 5%]]</f>
        <v>13276.2</v>
      </c>
    </row>
    <row r="245" spans="1:10" x14ac:dyDescent="0.35">
      <c r="A245" t="s">
        <v>9</v>
      </c>
      <c r="B245" t="s">
        <v>267</v>
      </c>
      <c r="C245" t="s">
        <v>16</v>
      </c>
      <c r="D245" t="s">
        <v>17</v>
      </c>
      <c r="E245" t="s">
        <v>18</v>
      </c>
      <c r="F245" t="s">
        <v>27</v>
      </c>
      <c r="G245" s="1">
        <v>9024</v>
      </c>
      <c r="H245">
        <v>6</v>
      </c>
      <c r="I245" s="1">
        <f>supermarket_sales_new[[#This Row],[Unit price]]*supermarket_sales_new[[#This Row],[Quantity]]*5%</f>
        <v>2707.2000000000003</v>
      </c>
      <c r="J245" s="1">
        <f>(supermarket_sales_new[[#This Row],[Unit price]]*supermarket_sales_new[[#This Row],[Quantity]])+supermarket_sales_new[[#This Row],[Tax 5%]]</f>
        <v>56851.199999999997</v>
      </c>
    </row>
    <row r="246" spans="1:10" x14ac:dyDescent="0.35">
      <c r="A246" t="s">
        <v>9</v>
      </c>
      <c r="B246" t="s">
        <v>268</v>
      </c>
      <c r="C246" t="s">
        <v>25</v>
      </c>
      <c r="D246" t="s">
        <v>26</v>
      </c>
      <c r="E246" t="s">
        <v>13</v>
      </c>
      <c r="F246" t="s">
        <v>33</v>
      </c>
      <c r="G246" s="1">
        <v>9813</v>
      </c>
      <c r="H246">
        <v>1</v>
      </c>
      <c r="I246" s="1">
        <f>supermarket_sales_new[[#This Row],[Unit price]]*supermarket_sales_new[[#This Row],[Quantity]]*5%</f>
        <v>490.65000000000003</v>
      </c>
      <c r="J246" s="1">
        <f>(supermarket_sales_new[[#This Row],[Unit price]]*supermarket_sales_new[[#This Row],[Quantity]])+supermarket_sales_new[[#This Row],[Tax 5%]]</f>
        <v>10303.65</v>
      </c>
    </row>
    <row r="247" spans="1:10" x14ac:dyDescent="0.35">
      <c r="A247" t="s">
        <v>9</v>
      </c>
      <c r="B247" t="s">
        <v>269</v>
      </c>
      <c r="C247" t="s">
        <v>11</v>
      </c>
      <c r="D247" t="s">
        <v>12</v>
      </c>
      <c r="E247" t="s">
        <v>13</v>
      </c>
      <c r="F247" t="s">
        <v>33</v>
      </c>
      <c r="G247" s="1">
        <v>5152</v>
      </c>
      <c r="H247">
        <v>8</v>
      </c>
      <c r="I247" s="1">
        <f>supermarket_sales_new[[#This Row],[Unit price]]*supermarket_sales_new[[#This Row],[Quantity]]*5%</f>
        <v>2060.8000000000002</v>
      </c>
      <c r="J247" s="1">
        <f>(supermarket_sales_new[[#This Row],[Unit price]]*supermarket_sales_new[[#This Row],[Quantity]])+supermarket_sales_new[[#This Row],[Tax 5%]]</f>
        <v>43276.800000000003</v>
      </c>
    </row>
    <row r="248" spans="1:10" x14ac:dyDescent="0.35">
      <c r="A248" t="s">
        <v>9</v>
      </c>
      <c r="B248" t="s">
        <v>270</v>
      </c>
      <c r="C248" t="s">
        <v>16</v>
      </c>
      <c r="D248" t="s">
        <v>17</v>
      </c>
      <c r="E248" t="s">
        <v>13</v>
      </c>
      <c r="F248" t="s">
        <v>29</v>
      </c>
      <c r="G248" s="1">
        <v>319</v>
      </c>
      <c r="H248">
        <v>1</v>
      </c>
      <c r="I248" s="1">
        <f>supermarket_sales_new[[#This Row],[Unit price]]*supermarket_sales_new[[#This Row],[Quantity]]*5%</f>
        <v>15.950000000000001</v>
      </c>
      <c r="J248" s="1">
        <f>(supermarket_sales_new[[#This Row],[Unit price]]*supermarket_sales_new[[#This Row],[Quantity]])+supermarket_sales_new[[#This Row],[Tax 5%]]</f>
        <v>334.95</v>
      </c>
    </row>
    <row r="249" spans="1:10" x14ac:dyDescent="0.35">
      <c r="A249" t="s">
        <v>9</v>
      </c>
      <c r="B249" t="s">
        <v>271</v>
      </c>
      <c r="C249" t="s">
        <v>25</v>
      </c>
      <c r="D249" t="s">
        <v>26</v>
      </c>
      <c r="E249" t="s">
        <v>18</v>
      </c>
      <c r="F249" t="s">
        <v>33</v>
      </c>
      <c r="G249" s="1">
        <v>9331</v>
      </c>
      <c r="H249">
        <v>2</v>
      </c>
      <c r="I249" s="1">
        <f>supermarket_sales_new[[#This Row],[Unit price]]*supermarket_sales_new[[#This Row],[Quantity]]*5%</f>
        <v>933.1</v>
      </c>
      <c r="J249" s="1">
        <f>(supermarket_sales_new[[#This Row],[Unit price]]*supermarket_sales_new[[#This Row],[Quantity]])+supermarket_sales_new[[#This Row],[Tax 5%]]</f>
        <v>19595.099999999999</v>
      </c>
    </row>
    <row r="250" spans="1:10" x14ac:dyDescent="0.35">
      <c r="A250" t="s">
        <v>9</v>
      </c>
      <c r="B250" t="s">
        <v>272</v>
      </c>
      <c r="C250" t="s">
        <v>25</v>
      </c>
      <c r="D250" t="s">
        <v>26</v>
      </c>
      <c r="E250" t="s">
        <v>13</v>
      </c>
      <c r="F250" t="s">
        <v>33</v>
      </c>
      <c r="G250" s="1">
        <v>485</v>
      </c>
      <c r="H250">
        <v>3</v>
      </c>
      <c r="I250" s="1">
        <f>supermarket_sales_new[[#This Row],[Unit price]]*supermarket_sales_new[[#This Row],[Quantity]]*5%</f>
        <v>72.75</v>
      </c>
      <c r="J250" s="1">
        <f>(supermarket_sales_new[[#This Row],[Unit price]]*supermarket_sales_new[[#This Row],[Quantity]])+supermarket_sales_new[[#This Row],[Tax 5%]]</f>
        <v>1527.75</v>
      </c>
    </row>
    <row r="251" spans="1:10" x14ac:dyDescent="0.35">
      <c r="A251" t="s">
        <v>9</v>
      </c>
      <c r="B251" t="s">
        <v>273</v>
      </c>
      <c r="C251" t="s">
        <v>25</v>
      </c>
      <c r="D251" t="s">
        <v>26</v>
      </c>
      <c r="E251" t="s">
        <v>18</v>
      </c>
      <c r="F251" t="s">
        <v>27</v>
      </c>
      <c r="G251" s="1">
        <v>8405</v>
      </c>
      <c r="H251">
        <v>6</v>
      </c>
      <c r="I251" s="1">
        <f>supermarket_sales_new[[#This Row],[Unit price]]*supermarket_sales_new[[#This Row],[Quantity]]*5%</f>
        <v>2521.5</v>
      </c>
      <c r="J251" s="1">
        <f>(supermarket_sales_new[[#This Row],[Unit price]]*supermarket_sales_new[[#This Row],[Quantity]])+supermarket_sales_new[[#This Row],[Tax 5%]]</f>
        <v>52951.5</v>
      </c>
    </row>
    <row r="252" spans="1:10" x14ac:dyDescent="0.35">
      <c r="A252" t="s">
        <v>9</v>
      </c>
      <c r="B252" t="s">
        <v>274</v>
      </c>
      <c r="C252" t="s">
        <v>16</v>
      </c>
      <c r="D252" t="s">
        <v>17</v>
      </c>
      <c r="E252" t="s">
        <v>13</v>
      </c>
      <c r="F252" t="s">
        <v>22</v>
      </c>
      <c r="G252" s="1">
        <v>1595</v>
      </c>
      <c r="H252">
        <v>6</v>
      </c>
      <c r="I252" s="1">
        <f>supermarket_sales_new[[#This Row],[Unit price]]*supermarket_sales_new[[#This Row],[Quantity]]*5%</f>
        <v>478.5</v>
      </c>
      <c r="J252" s="1">
        <f>(supermarket_sales_new[[#This Row],[Unit price]]*supermarket_sales_new[[#This Row],[Quantity]])+supermarket_sales_new[[#This Row],[Tax 5%]]</f>
        <v>10048.5</v>
      </c>
    </row>
    <row r="253" spans="1:10" x14ac:dyDescent="0.35">
      <c r="A253" t="s">
        <v>9</v>
      </c>
      <c r="B253" t="s">
        <v>275</v>
      </c>
      <c r="C253" t="s">
        <v>25</v>
      </c>
      <c r="D253" t="s">
        <v>26</v>
      </c>
      <c r="E253" t="s">
        <v>13</v>
      </c>
      <c r="F253" t="s">
        <v>33</v>
      </c>
      <c r="G253" s="1">
        <v>9074</v>
      </c>
      <c r="H253">
        <v>7</v>
      </c>
      <c r="I253" s="1">
        <f>supermarket_sales_new[[#This Row],[Unit price]]*supermarket_sales_new[[#This Row],[Quantity]]*5%</f>
        <v>3175.9</v>
      </c>
      <c r="J253" s="1">
        <f>(supermarket_sales_new[[#This Row],[Unit price]]*supermarket_sales_new[[#This Row],[Quantity]])+supermarket_sales_new[[#This Row],[Tax 5%]]</f>
        <v>66693.899999999994</v>
      </c>
    </row>
    <row r="254" spans="1:10" x14ac:dyDescent="0.35">
      <c r="A254" t="s">
        <v>9</v>
      </c>
      <c r="B254" t="s">
        <v>276</v>
      </c>
      <c r="C254" t="s">
        <v>11</v>
      </c>
      <c r="D254" t="s">
        <v>12</v>
      </c>
      <c r="E254" t="s">
        <v>18</v>
      </c>
      <c r="F254" t="s">
        <v>22</v>
      </c>
      <c r="G254" s="1">
        <v>4291</v>
      </c>
      <c r="H254">
        <v>5</v>
      </c>
      <c r="I254" s="1">
        <f>supermarket_sales_new[[#This Row],[Unit price]]*supermarket_sales_new[[#This Row],[Quantity]]*5%</f>
        <v>1072.75</v>
      </c>
      <c r="J254" s="1">
        <f>(supermarket_sales_new[[#This Row],[Unit price]]*supermarket_sales_new[[#This Row],[Quantity]])+supermarket_sales_new[[#This Row],[Tax 5%]]</f>
        <v>22527.75</v>
      </c>
    </row>
    <row r="255" spans="1:10" x14ac:dyDescent="0.35">
      <c r="A255" t="s">
        <v>9</v>
      </c>
      <c r="B255" t="s">
        <v>277</v>
      </c>
      <c r="C255" t="s">
        <v>11</v>
      </c>
      <c r="D255" t="s">
        <v>12</v>
      </c>
      <c r="E255" t="s">
        <v>18</v>
      </c>
      <c r="F255" t="s">
        <v>29</v>
      </c>
      <c r="G255" s="1">
        <v>5428</v>
      </c>
      <c r="H255">
        <v>7</v>
      </c>
      <c r="I255" s="1">
        <f>supermarket_sales_new[[#This Row],[Unit price]]*supermarket_sales_new[[#This Row],[Quantity]]*5%</f>
        <v>1899.8000000000002</v>
      </c>
      <c r="J255" s="1">
        <f>(supermarket_sales_new[[#This Row],[Unit price]]*supermarket_sales_new[[#This Row],[Quantity]])+supermarket_sales_new[[#This Row],[Tax 5%]]</f>
        <v>39895.800000000003</v>
      </c>
    </row>
    <row r="256" spans="1:10" x14ac:dyDescent="0.35">
      <c r="A256" t="s">
        <v>9</v>
      </c>
      <c r="B256" t="s">
        <v>278</v>
      </c>
      <c r="C256" t="s">
        <v>16</v>
      </c>
      <c r="D256" t="s">
        <v>17</v>
      </c>
      <c r="E256" t="s">
        <v>13</v>
      </c>
      <c r="F256" t="s">
        <v>29</v>
      </c>
      <c r="G256" s="1">
        <v>5147</v>
      </c>
      <c r="H256">
        <v>1</v>
      </c>
      <c r="I256" s="1">
        <f>supermarket_sales_new[[#This Row],[Unit price]]*supermarket_sales_new[[#This Row],[Quantity]]*5%</f>
        <v>257.35000000000002</v>
      </c>
      <c r="J256" s="1">
        <f>(supermarket_sales_new[[#This Row],[Unit price]]*supermarket_sales_new[[#This Row],[Quantity]])+supermarket_sales_new[[#This Row],[Tax 5%]]</f>
        <v>5404.35</v>
      </c>
    </row>
    <row r="257" spans="1:10" x14ac:dyDescent="0.35">
      <c r="A257" t="s">
        <v>9</v>
      </c>
      <c r="B257" t="s">
        <v>279</v>
      </c>
      <c r="C257" t="s">
        <v>25</v>
      </c>
      <c r="D257" t="s">
        <v>26</v>
      </c>
      <c r="E257" t="s">
        <v>18</v>
      </c>
      <c r="F257" t="s">
        <v>19</v>
      </c>
      <c r="G257" s="1">
        <v>4571</v>
      </c>
      <c r="H257">
        <v>3</v>
      </c>
      <c r="I257" s="1">
        <f>supermarket_sales_new[[#This Row],[Unit price]]*supermarket_sales_new[[#This Row],[Quantity]]*5%</f>
        <v>685.65000000000009</v>
      </c>
      <c r="J257" s="1">
        <f>(supermarket_sales_new[[#This Row],[Unit price]]*supermarket_sales_new[[#This Row],[Quantity]])+supermarket_sales_new[[#This Row],[Tax 5%]]</f>
        <v>14398.65</v>
      </c>
    </row>
    <row r="258" spans="1:10" x14ac:dyDescent="0.35">
      <c r="A258" t="s">
        <v>9</v>
      </c>
      <c r="B258" t="s">
        <v>280</v>
      </c>
      <c r="C258" t="s">
        <v>16</v>
      </c>
      <c r="D258" t="s">
        <v>17</v>
      </c>
      <c r="E258" t="s">
        <v>13</v>
      </c>
      <c r="F258" t="s">
        <v>22</v>
      </c>
      <c r="G258" s="1">
        <v>8317</v>
      </c>
      <c r="H258">
        <v>6</v>
      </c>
      <c r="I258" s="1">
        <f>supermarket_sales_new[[#This Row],[Unit price]]*supermarket_sales_new[[#This Row],[Quantity]]*5%</f>
        <v>2495.1000000000004</v>
      </c>
      <c r="J258" s="1">
        <f>(supermarket_sales_new[[#This Row],[Unit price]]*supermarket_sales_new[[#This Row],[Quantity]])+supermarket_sales_new[[#This Row],[Tax 5%]]</f>
        <v>52397.1</v>
      </c>
    </row>
    <row r="259" spans="1:10" x14ac:dyDescent="0.35">
      <c r="A259" t="s">
        <v>9</v>
      </c>
      <c r="B259" t="s">
        <v>281</v>
      </c>
      <c r="C259" t="s">
        <v>11</v>
      </c>
      <c r="D259" t="s">
        <v>12</v>
      </c>
      <c r="E259" t="s">
        <v>13</v>
      </c>
      <c r="F259" t="s">
        <v>22</v>
      </c>
      <c r="G259" s="1">
        <v>3744</v>
      </c>
      <c r="H259">
        <v>6</v>
      </c>
      <c r="I259" s="1">
        <f>supermarket_sales_new[[#This Row],[Unit price]]*supermarket_sales_new[[#This Row],[Quantity]]*5%</f>
        <v>1123.2</v>
      </c>
      <c r="J259" s="1">
        <f>(supermarket_sales_new[[#This Row],[Unit price]]*supermarket_sales_new[[#This Row],[Quantity]])+supermarket_sales_new[[#This Row],[Tax 5%]]</f>
        <v>23587.200000000001</v>
      </c>
    </row>
    <row r="260" spans="1:10" x14ac:dyDescent="0.35">
      <c r="A260" t="s">
        <v>9</v>
      </c>
      <c r="B260" t="s">
        <v>282</v>
      </c>
      <c r="C260" t="s">
        <v>11</v>
      </c>
      <c r="D260" t="s">
        <v>12</v>
      </c>
      <c r="E260" t="s">
        <v>13</v>
      </c>
      <c r="F260" t="s">
        <v>33</v>
      </c>
      <c r="G260" s="1">
        <v>9141</v>
      </c>
      <c r="H260">
        <v>5</v>
      </c>
      <c r="I260" s="1">
        <f>supermarket_sales_new[[#This Row],[Unit price]]*supermarket_sales_new[[#This Row],[Quantity]]*5%</f>
        <v>2285.25</v>
      </c>
      <c r="J260" s="1">
        <f>(supermarket_sales_new[[#This Row],[Unit price]]*supermarket_sales_new[[#This Row],[Quantity]])+supermarket_sales_new[[#This Row],[Tax 5%]]</f>
        <v>47990.25</v>
      </c>
    </row>
    <row r="261" spans="1:10" x14ac:dyDescent="0.35">
      <c r="A261" t="s">
        <v>9</v>
      </c>
      <c r="B261" t="s">
        <v>283</v>
      </c>
      <c r="C261" t="s">
        <v>25</v>
      </c>
      <c r="D261" t="s">
        <v>26</v>
      </c>
      <c r="E261" t="s">
        <v>13</v>
      </c>
      <c r="F261" t="s">
        <v>27</v>
      </c>
      <c r="G261" s="1">
        <v>5436</v>
      </c>
      <c r="H261">
        <v>10</v>
      </c>
      <c r="I261" s="1">
        <f>supermarket_sales_new[[#This Row],[Unit price]]*supermarket_sales_new[[#This Row],[Quantity]]*5%</f>
        <v>2718</v>
      </c>
      <c r="J261" s="1">
        <f>(supermarket_sales_new[[#This Row],[Unit price]]*supermarket_sales_new[[#This Row],[Quantity]])+supermarket_sales_new[[#This Row],[Tax 5%]]</f>
        <v>57078</v>
      </c>
    </row>
    <row r="262" spans="1:10" x14ac:dyDescent="0.35">
      <c r="A262" t="s">
        <v>9</v>
      </c>
      <c r="B262" t="s">
        <v>284</v>
      </c>
      <c r="C262" t="s">
        <v>16</v>
      </c>
      <c r="D262" t="s">
        <v>17</v>
      </c>
      <c r="E262" t="s">
        <v>18</v>
      </c>
      <c r="F262" t="s">
        <v>27</v>
      </c>
      <c r="G262" s="1">
        <v>1631</v>
      </c>
      <c r="H262">
        <v>9</v>
      </c>
      <c r="I262" s="1">
        <f>supermarket_sales_new[[#This Row],[Unit price]]*supermarket_sales_new[[#This Row],[Quantity]]*5%</f>
        <v>733.95</v>
      </c>
      <c r="J262" s="1">
        <f>(supermarket_sales_new[[#This Row],[Unit price]]*supermarket_sales_new[[#This Row],[Quantity]])+supermarket_sales_new[[#This Row],[Tax 5%]]</f>
        <v>15412.95</v>
      </c>
    </row>
    <row r="263" spans="1:10" x14ac:dyDescent="0.35">
      <c r="A263" t="s">
        <v>9</v>
      </c>
      <c r="B263" t="s">
        <v>285</v>
      </c>
      <c r="C263" t="s">
        <v>11</v>
      </c>
      <c r="D263" t="s">
        <v>12</v>
      </c>
      <c r="E263" t="s">
        <v>18</v>
      </c>
      <c r="F263" t="s">
        <v>22</v>
      </c>
      <c r="G263" s="1">
        <v>2832</v>
      </c>
      <c r="H263">
        <v>5</v>
      </c>
      <c r="I263" s="1">
        <f>supermarket_sales_new[[#This Row],[Unit price]]*supermarket_sales_new[[#This Row],[Quantity]]*5%</f>
        <v>708</v>
      </c>
      <c r="J263" s="1">
        <f>(supermarket_sales_new[[#This Row],[Unit price]]*supermarket_sales_new[[#This Row],[Quantity]])+supermarket_sales_new[[#This Row],[Tax 5%]]</f>
        <v>14868</v>
      </c>
    </row>
    <row r="264" spans="1:10" x14ac:dyDescent="0.35">
      <c r="A264" t="s">
        <v>9</v>
      </c>
      <c r="B264" t="s">
        <v>286</v>
      </c>
      <c r="C264" t="s">
        <v>25</v>
      </c>
      <c r="D264" t="s">
        <v>26</v>
      </c>
      <c r="E264" t="s">
        <v>13</v>
      </c>
      <c r="F264" t="s">
        <v>29</v>
      </c>
      <c r="G264" s="1">
        <v>7396</v>
      </c>
      <c r="H264">
        <v>1</v>
      </c>
      <c r="I264" s="1">
        <f>supermarket_sales_new[[#This Row],[Unit price]]*supermarket_sales_new[[#This Row],[Quantity]]*5%</f>
        <v>369.8</v>
      </c>
      <c r="J264" s="1">
        <f>(supermarket_sales_new[[#This Row],[Unit price]]*supermarket_sales_new[[#This Row],[Quantity]])+supermarket_sales_new[[#This Row],[Tax 5%]]</f>
        <v>7765.8</v>
      </c>
    </row>
    <row r="265" spans="1:10" x14ac:dyDescent="0.35">
      <c r="A265" t="s">
        <v>9</v>
      </c>
      <c r="B265" t="s">
        <v>287</v>
      </c>
      <c r="C265" t="s">
        <v>11</v>
      </c>
      <c r="D265" t="s">
        <v>12</v>
      </c>
      <c r="E265" t="s">
        <v>18</v>
      </c>
      <c r="F265" t="s">
        <v>29</v>
      </c>
      <c r="G265" s="1">
        <v>7305</v>
      </c>
      <c r="H265">
        <v>4</v>
      </c>
      <c r="I265" s="1">
        <f>supermarket_sales_new[[#This Row],[Unit price]]*supermarket_sales_new[[#This Row],[Quantity]]*5%</f>
        <v>1461</v>
      </c>
      <c r="J265" s="1">
        <f>(supermarket_sales_new[[#This Row],[Unit price]]*supermarket_sales_new[[#This Row],[Quantity]])+supermarket_sales_new[[#This Row],[Tax 5%]]</f>
        <v>30681</v>
      </c>
    </row>
    <row r="266" spans="1:10" x14ac:dyDescent="0.35">
      <c r="A266" t="s">
        <v>9</v>
      </c>
      <c r="B266" t="s">
        <v>288</v>
      </c>
      <c r="C266" t="s">
        <v>16</v>
      </c>
      <c r="D266" t="s">
        <v>17</v>
      </c>
      <c r="E266" t="s">
        <v>13</v>
      </c>
      <c r="F266" t="s">
        <v>27</v>
      </c>
      <c r="G266" s="1">
        <v>8748</v>
      </c>
      <c r="H266">
        <v>6</v>
      </c>
      <c r="I266" s="1">
        <f>supermarket_sales_new[[#This Row],[Unit price]]*supermarket_sales_new[[#This Row],[Quantity]]*5%</f>
        <v>2624.4</v>
      </c>
      <c r="J266" s="1">
        <f>(supermarket_sales_new[[#This Row],[Unit price]]*supermarket_sales_new[[#This Row],[Quantity]])+supermarket_sales_new[[#This Row],[Tax 5%]]</f>
        <v>55112.4</v>
      </c>
    </row>
    <row r="267" spans="1:10" x14ac:dyDescent="0.35">
      <c r="A267" t="s">
        <v>9</v>
      </c>
      <c r="B267" t="s">
        <v>289</v>
      </c>
      <c r="C267" t="s">
        <v>25</v>
      </c>
      <c r="D267" t="s">
        <v>26</v>
      </c>
      <c r="E267" t="s">
        <v>13</v>
      </c>
      <c r="F267" t="s">
        <v>33</v>
      </c>
      <c r="G267" s="1">
        <v>2018</v>
      </c>
      <c r="H267">
        <v>4</v>
      </c>
      <c r="I267" s="1">
        <f>supermarket_sales_new[[#This Row],[Unit price]]*supermarket_sales_new[[#This Row],[Quantity]]*5%</f>
        <v>403.6</v>
      </c>
      <c r="J267" s="1">
        <f>(supermarket_sales_new[[#This Row],[Unit price]]*supermarket_sales_new[[#This Row],[Quantity]])+supermarket_sales_new[[#This Row],[Tax 5%]]</f>
        <v>8475.6</v>
      </c>
    </row>
    <row r="268" spans="1:10" x14ac:dyDescent="0.35">
      <c r="A268" t="s">
        <v>9</v>
      </c>
      <c r="B268" t="s">
        <v>290</v>
      </c>
      <c r="C268" t="s">
        <v>25</v>
      </c>
      <c r="D268" t="s">
        <v>26</v>
      </c>
      <c r="E268" t="s">
        <v>18</v>
      </c>
      <c r="F268" t="s">
        <v>27</v>
      </c>
      <c r="G268" s="1">
        <v>712</v>
      </c>
      <c r="H268">
        <v>1</v>
      </c>
      <c r="I268" s="1">
        <f>supermarket_sales_new[[#This Row],[Unit price]]*supermarket_sales_new[[#This Row],[Quantity]]*5%</f>
        <v>35.6</v>
      </c>
      <c r="J268" s="1">
        <f>(supermarket_sales_new[[#This Row],[Unit price]]*supermarket_sales_new[[#This Row],[Quantity]])+supermarket_sales_new[[#This Row],[Tax 5%]]</f>
        <v>747.6</v>
      </c>
    </row>
    <row r="269" spans="1:10" x14ac:dyDescent="0.35">
      <c r="A269" t="s">
        <v>9</v>
      </c>
      <c r="B269" t="s">
        <v>291</v>
      </c>
      <c r="C269" t="s">
        <v>11</v>
      </c>
      <c r="D269" t="s">
        <v>12</v>
      </c>
      <c r="E269" t="s">
        <v>18</v>
      </c>
      <c r="F269" t="s">
        <v>29</v>
      </c>
      <c r="G269" s="1">
        <v>2942</v>
      </c>
      <c r="H269">
        <v>10</v>
      </c>
      <c r="I269" s="1">
        <f>supermarket_sales_new[[#This Row],[Unit price]]*supermarket_sales_new[[#This Row],[Quantity]]*5%</f>
        <v>1471</v>
      </c>
      <c r="J269" s="1">
        <f>(supermarket_sales_new[[#This Row],[Unit price]]*supermarket_sales_new[[#This Row],[Quantity]])+supermarket_sales_new[[#This Row],[Tax 5%]]</f>
        <v>30891</v>
      </c>
    </row>
    <row r="270" spans="1:10" x14ac:dyDescent="0.35">
      <c r="A270" t="s">
        <v>9</v>
      </c>
      <c r="B270" t="s">
        <v>292</v>
      </c>
      <c r="C270" t="s">
        <v>25</v>
      </c>
      <c r="D270" t="s">
        <v>26</v>
      </c>
      <c r="E270" t="s">
        <v>18</v>
      </c>
      <c r="F270" t="s">
        <v>33</v>
      </c>
      <c r="G270" s="1">
        <v>5154</v>
      </c>
      <c r="H270">
        <v>5</v>
      </c>
      <c r="I270" s="1">
        <f>supermarket_sales_new[[#This Row],[Unit price]]*supermarket_sales_new[[#This Row],[Quantity]]*5%</f>
        <v>1288.5</v>
      </c>
      <c r="J270" s="1">
        <f>(supermarket_sales_new[[#This Row],[Unit price]]*supermarket_sales_new[[#This Row],[Quantity]])+supermarket_sales_new[[#This Row],[Tax 5%]]</f>
        <v>27058.5</v>
      </c>
    </row>
    <row r="271" spans="1:10" x14ac:dyDescent="0.35">
      <c r="A271" t="s">
        <v>9</v>
      </c>
      <c r="B271" t="s">
        <v>293</v>
      </c>
      <c r="C271" t="s">
        <v>11</v>
      </c>
      <c r="D271" t="s">
        <v>12</v>
      </c>
      <c r="E271" t="s">
        <v>18</v>
      </c>
      <c r="F271" t="s">
        <v>19</v>
      </c>
      <c r="G271" s="1">
        <v>6606</v>
      </c>
      <c r="H271">
        <v>6</v>
      </c>
      <c r="I271" s="1">
        <f>supermarket_sales_new[[#This Row],[Unit price]]*supermarket_sales_new[[#This Row],[Quantity]]*5%</f>
        <v>1981.8000000000002</v>
      </c>
      <c r="J271" s="1">
        <f>(supermarket_sales_new[[#This Row],[Unit price]]*supermarket_sales_new[[#This Row],[Quantity]])+supermarket_sales_new[[#This Row],[Tax 5%]]</f>
        <v>41617.800000000003</v>
      </c>
    </row>
    <row r="272" spans="1:10" x14ac:dyDescent="0.35">
      <c r="A272" t="s">
        <v>9</v>
      </c>
      <c r="B272" t="s">
        <v>294</v>
      </c>
      <c r="C272" t="s">
        <v>25</v>
      </c>
      <c r="D272" t="s">
        <v>26</v>
      </c>
      <c r="E272" t="s">
        <v>18</v>
      </c>
      <c r="F272" t="s">
        <v>29</v>
      </c>
      <c r="G272" s="1">
        <v>5431</v>
      </c>
      <c r="H272">
        <v>9</v>
      </c>
      <c r="I272" s="1">
        <f>supermarket_sales_new[[#This Row],[Unit price]]*supermarket_sales_new[[#This Row],[Quantity]]*5%</f>
        <v>2443.9500000000003</v>
      </c>
      <c r="J272" s="1">
        <f>(supermarket_sales_new[[#This Row],[Unit price]]*supermarket_sales_new[[#This Row],[Quantity]])+supermarket_sales_new[[#This Row],[Tax 5%]]</f>
        <v>51322.95</v>
      </c>
    </row>
    <row r="273" spans="1:10" x14ac:dyDescent="0.35">
      <c r="A273" t="s">
        <v>9</v>
      </c>
      <c r="B273" t="s">
        <v>295</v>
      </c>
      <c r="C273" t="s">
        <v>25</v>
      </c>
      <c r="D273" t="s">
        <v>26</v>
      </c>
      <c r="E273" t="s">
        <v>18</v>
      </c>
      <c r="F273" t="s">
        <v>14</v>
      </c>
      <c r="G273" s="1">
        <v>5824</v>
      </c>
      <c r="H273">
        <v>9</v>
      </c>
      <c r="I273" s="1">
        <f>supermarket_sales_new[[#This Row],[Unit price]]*supermarket_sales_new[[#This Row],[Quantity]]*5%</f>
        <v>2620.8000000000002</v>
      </c>
      <c r="J273" s="1">
        <f>(supermarket_sales_new[[#This Row],[Unit price]]*supermarket_sales_new[[#This Row],[Quantity]])+supermarket_sales_new[[#This Row],[Tax 5%]]</f>
        <v>55036.800000000003</v>
      </c>
    </row>
    <row r="274" spans="1:10" x14ac:dyDescent="0.35">
      <c r="A274" t="s">
        <v>9</v>
      </c>
      <c r="B274" t="s">
        <v>296</v>
      </c>
      <c r="C274" t="s">
        <v>25</v>
      </c>
      <c r="D274" t="s">
        <v>26</v>
      </c>
      <c r="E274" t="s">
        <v>13</v>
      </c>
      <c r="F274" t="s">
        <v>29</v>
      </c>
      <c r="G274" s="1">
        <v>7204</v>
      </c>
      <c r="H274">
        <v>2</v>
      </c>
      <c r="I274" s="1">
        <f>supermarket_sales_new[[#This Row],[Unit price]]*supermarket_sales_new[[#This Row],[Quantity]]*5%</f>
        <v>720.40000000000009</v>
      </c>
      <c r="J274" s="1">
        <f>(supermarket_sales_new[[#This Row],[Unit price]]*supermarket_sales_new[[#This Row],[Quantity]])+supermarket_sales_new[[#This Row],[Tax 5%]]</f>
        <v>15128.4</v>
      </c>
    </row>
    <row r="275" spans="1:10" x14ac:dyDescent="0.35">
      <c r="A275" t="s">
        <v>9</v>
      </c>
      <c r="B275" t="s">
        <v>297</v>
      </c>
      <c r="C275" t="s">
        <v>16</v>
      </c>
      <c r="D275" t="s">
        <v>17</v>
      </c>
      <c r="E275" t="s">
        <v>13</v>
      </c>
      <c r="F275" t="s">
        <v>27</v>
      </c>
      <c r="G275" s="1">
        <v>9852</v>
      </c>
      <c r="H275">
        <v>10</v>
      </c>
      <c r="I275" s="1">
        <f>supermarket_sales_new[[#This Row],[Unit price]]*supermarket_sales_new[[#This Row],[Quantity]]*5%</f>
        <v>4926</v>
      </c>
      <c r="J275" s="1">
        <f>(supermarket_sales_new[[#This Row],[Unit price]]*supermarket_sales_new[[#This Row],[Quantity]])+supermarket_sales_new[[#This Row],[Tax 5%]]</f>
        <v>103446</v>
      </c>
    </row>
    <row r="276" spans="1:10" x14ac:dyDescent="0.35">
      <c r="A276" t="s">
        <v>9</v>
      </c>
      <c r="B276" t="s">
        <v>298</v>
      </c>
      <c r="C276" t="s">
        <v>11</v>
      </c>
      <c r="D276" t="s">
        <v>12</v>
      </c>
      <c r="E276" t="s">
        <v>13</v>
      </c>
      <c r="F276" t="s">
        <v>22</v>
      </c>
      <c r="G276" s="1">
        <v>7242</v>
      </c>
      <c r="H276">
        <v>3</v>
      </c>
      <c r="I276" s="1">
        <f>supermarket_sales_new[[#This Row],[Unit price]]*supermarket_sales_new[[#This Row],[Quantity]]*5%</f>
        <v>1086.3</v>
      </c>
      <c r="J276" s="1">
        <f>(supermarket_sales_new[[#This Row],[Unit price]]*supermarket_sales_new[[#This Row],[Quantity]])+supermarket_sales_new[[#This Row],[Tax 5%]]</f>
        <v>22812.3</v>
      </c>
    </row>
    <row r="277" spans="1:10" x14ac:dyDescent="0.35">
      <c r="A277" t="s">
        <v>9</v>
      </c>
      <c r="B277" t="s">
        <v>299</v>
      </c>
      <c r="C277" t="s">
        <v>25</v>
      </c>
      <c r="D277" t="s">
        <v>26</v>
      </c>
      <c r="E277" t="s">
        <v>18</v>
      </c>
      <c r="F277" t="s">
        <v>19</v>
      </c>
      <c r="G277" s="1">
        <v>4242</v>
      </c>
      <c r="H277">
        <v>8</v>
      </c>
      <c r="I277" s="1">
        <f>supermarket_sales_new[[#This Row],[Unit price]]*supermarket_sales_new[[#This Row],[Quantity]]*5%</f>
        <v>1696.8000000000002</v>
      </c>
      <c r="J277" s="1">
        <f>(supermarket_sales_new[[#This Row],[Unit price]]*supermarket_sales_new[[#This Row],[Quantity]])+supermarket_sales_new[[#This Row],[Tax 5%]]</f>
        <v>35632.800000000003</v>
      </c>
    </row>
    <row r="278" spans="1:10" x14ac:dyDescent="0.35">
      <c r="A278" t="s">
        <v>9</v>
      </c>
      <c r="B278" t="s">
        <v>300</v>
      </c>
      <c r="C278" t="s">
        <v>11</v>
      </c>
      <c r="D278" t="s">
        <v>12</v>
      </c>
      <c r="E278" t="s">
        <v>18</v>
      </c>
      <c r="F278" t="s">
        <v>27</v>
      </c>
      <c r="G278" s="1">
        <v>8121</v>
      </c>
      <c r="H278">
        <v>10</v>
      </c>
      <c r="I278" s="1">
        <f>supermarket_sales_new[[#This Row],[Unit price]]*supermarket_sales_new[[#This Row],[Quantity]]*5%</f>
        <v>4060.5</v>
      </c>
      <c r="J278" s="1">
        <f>(supermarket_sales_new[[#This Row],[Unit price]]*supermarket_sales_new[[#This Row],[Quantity]])+supermarket_sales_new[[#This Row],[Tax 5%]]</f>
        <v>85270.5</v>
      </c>
    </row>
    <row r="279" spans="1:10" x14ac:dyDescent="0.35">
      <c r="A279" t="s">
        <v>9</v>
      </c>
      <c r="B279" t="s">
        <v>301</v>
      </c>
      <c r="C279" t="s">
        <v>16</v>
      </c>
      <c r="D279" t="s">
        <v>17</v>
      </c>
      <c r="E279" t="s">
        <v>18</v>
      </c>
      <c r="F279" t="s">
        <v>33</v>
      </c>
      <c r="G279" s="1">
        <v>4933</v>
      </c>
      <c r="H279">
        <v>10</v>
      </c>
      <c r="I279" s="1">
        <f>supermarket_sales_new[[#This Row],[Unit price]]*supermarket_sales_new[[#This Row],[Quantity]]*5%</f>
        <v>2466.5</v>
      </c>
      <c r="J279" s="1">
        <f>(supermarket_sales_new[[#This Row],[Unit price]]*supermarket_sales_new[[#This Row],[Quantity]])+supermarket_sales_new[[#This Row],[Tax 5%]]</f>
        <v>51796.5</v>
      </c>
    </row>
    <row r="280" spans="1:10" x14ac:dyDescent="0.35">
      <c r="A280" t="s">
        <v>9</v>
      </c>
      <c r="B280" t="s">
        <v>302</v>
      </c>
      <c r="C280" t="s">
        <v>11</v>
      </c>
      <c r="D280" t="s">
        <v>12</v>
      </c>
      <c r="E280" t="s">
        <v>18</v>
      </c>
      <c r="F280" t="s">
        <v>29</v>
      </c>
      <c r="G280" s="1">
        <v>6574</v>
      </c>
      <c r="H280">
        <v>9</v>
      </c>
      <c r="I280" s="1">
        <f>supermarket_sales_new[[#This Row],[Unit price]]*supermarket_sales_new[[#This Row],[Quantity]]*5%</f>
        <v>2958.3</v>
      </c>
      <c r="J280" s="1">
        <f>(supermarket_sales_new[[#This Row],[Unit price]]*supermarket_sales_new[[#This Row],[Quantity]])+supermarket_sales_new[[#This Row],[Tax 5%]]</f>
        <v>62124.3</v>
      </c>
    </row>
    <row r="281" spans="1:10" x14ac:dyDescent="0.35">
      <c r="A281" t="s">
        <v>9</v>
      </c>
      <c r="B281" t="s">
        <v>303</v>
      </c>
      <c r="C281" t="s">
        <v>25</v>
      </c>
      <c r="D281" t="s">
        <v>26</v>
      </c>
      <c r="E281" t="s">
        <v>18</v>
      </c>
      <c r="F281" t="s">
        <v>29</v>
      </c>
      <c r="G281" s="1">
        <v>7986</v>
      </c>
      <c r="H281">
        <v>7</v>
      </c>
      <c r="I281" s="1">
        <f>supermarket_sales_new[[#This Row],[Unit price]]*supermarket_sales_new[[#This Row],[Quantity]]*5%</f>
        <v>2795.1000000000004</v>
      </c>
      <c r="J281" s="1">
        <f>(supermarket_sales_new[[#This Row],[Unit price]]*supermarket_sales_new[[#This Row],[Quantity]])+supermarket_sales_new[[#This Row],[Tax 5%]]</f>
        <v>58697.1</v>
      </c>
    </row>
    <row r="282" spans="1:10" x14ac:dyDescent="0.35">
      <c r="A282" t="s">
        <v>9</v>
      </c>
      <c r="B282" t="s">
        <v>304</v>
      </c>
      <c r="C282" t="s">
        <v>16</v>
      </c>
      <c r="D282" t="s">
        <v>17</v>
      </c>
      <c r="E282" t="s">
        <v>18</v>
      </c>
      <c r="F282" t="s">
        <v>33</v>
      </c>
      <c r="G282" s="1">
        <v>7398</v>
      </c>
      <c r="H282">
        <v>7</v>
      </c>
      <c r="I282" s="1">
        <f>supermarket_sales_new[[#This Row],[Unit price]]*supermarket_sales_new[[#This Row],[Quantity]]*5%</f>
        <v>2589.3000000000002</v>
      </c>
      <c r="J282" s="1">
        <f>(supermarket_sales_new[[#This Row],[Unit price]]*supermarket_sales_new[[#This Row],[Quantity]])+supermarket_sales_new[[#This Row],[Tax 5%]]</f>
        <v>54375.3</v>
      </c>
    </row>
    <row r="283" spans="1:10" x14ac:dyDescent="0.35">
      <c r="A283" t="s">
        <v>9</v>
      </c>
      <c r="B283" t="s">
        <v>305</v>
      </c>
      <c r="C283" t="s">
        <v>25</v>
      </c>
      <c r="D283" t="s">
        <v>26</v>
      </c>
      <c r="E283" t="s">
        <v>13</v>
      </c>
      <c r="F283" t="s">
        <v>22</v>
      </c>
      <c r="G283" s="1">
        <v>8204</v>
      </c>
      <c r="H283">
        <v>5</v>
      </c>
      <c r="I283" s="1">
        <f>supermarket_sales_new[[#This Row],[Unit price]]*supermarket_sales_new[[#This Row],[Quantity]]*5%</f>
        <v>2051</v>
      </c>
      <c r="J283" s="1">
        <f>(supermarket_sales_new[[#This Row],[Unit price]]*supermarket_sales_new[[#This Row],[Quantity]])+supermarket_sales_new[[#This Row],[Tax 5%]]</f>
        <v>43071</v>
      </c>
    </row>
    <row r="284" spans="1:10" x14ac:dyDescent="0.35">
      <c r="A284" t="s">
        <v>9</v>
      </c>
      <c r="B284" t="s">
        <v>306</v>
      </c>
      <c r="C284" t="s">
        <v>11</v>
      </c>
      <c r="D284" t="s">
        <v>12</v>
      </c>
      <c r="E284" t="s">
        <v>18</v>
      </c>
      <c r="F284" t="s">
        <v>14</v>
      </c>
      <c r="G284" s="1">
        <v>6427</v>
      </c>
      <c r="H284">
        <v>4</v>
      </c>
      <c r="I284" s="1">
        <f>supermarket_sales_new[[#This Row],[Unit price]]*supermarket_sales_new[[#This Row],[Quantity]]*5%</f>
        <v>1285.4000000000001</v>
      </c>
      <c r="J284" s="1">
        <f>(supermarket_sales_new[[#This Row],[Unit price]]*supermarket_sales_new[[#This Row],[Quantity]])+supermarket_sales_new[[#This Row],[Tax 5%]]</f>
        <v>26993.4</v>
      </c>
    </row>
    <row r="285" spans="1:10" x14ac:dyDescent="0.35">
      <c r="A285" t="s">
        <v>9</v>
      </c>
      <c r="B285" t="s">
        <v>307</v>
      </c>
      <c r="C285" t="s">
        <v>11</v>
      </c>
      <c r="D285" t="s">
        <v>12</v>
      </c>
      <c r="E285" t="s">
        <v>13</v>
      </c>
      <c r="F285" t="s">
        <v>14</v>
      </c>
      <c r="G285" s="1">
        <v>7768</v>
      </c>
      <c r="H285">
        <v>4</v>
      </c>
      <c r="I285" s="1">
        <f>supermarket_sales_new[[#This Row],[Unit price]]*supermarket_sales_new[[#This Row],[Quantity]]*5%</f>
        <v>1553.6000000000001</v>
      </c>
      <c r="J285" s="1">
        <f>(supermarket_sales_new[[#This Row],[Unit price]]*supermarket_sales_new[[#This Row],[Quantity]])+supermarket_sales_new[[#This Row],[Tax 5%]]</f>
        <v>32625.599999999999</v>
      </c>
    </row>
    <row r="286" spans="1:10" x14ac:dyDescent="0.35">
      <c r="A286" t="s">
        <v>9</v>
      </c>
      <c r="B286" t="s">
        <v>308</v>
      </c>
      <c r="C286" t="s">
        <v>16</v>
      </c>
      <c r="D286" t="s">
        <v>17</v>
      </c>
      <c r="E286" t="s">
        <v>13</v>
      </c>
      <c r="F286" t="s">
        <v>29</v>
      </c>
      <c r="G286" s="1">
        <v>9298</v>
      </c>
      <c r="H286">
        <v>2</v>
      </c>
      <c r="I286" s="1">
        <f>supermarket_sales_new[[#This Row],[Unit price]]*supermarket_sales_new[[#This Row],[Quantity]]*5%</f>
        <v>929.80000000000007</v>
      </c>
      <c r="J286" s="1">
        <f>(supermarket_sales_new[[#This Row],[Unit price]]*supermarket_sales_new[[#This Row],[Quantity]])+supermarket_sales_new[[#This Row],[Tax 5%]]</f>
        <v>19525.8</v>
      </c>
    </row>
    <row r="287" spans="1:10" x14ac:dyDescent="0.35">
      <c r="A287" t="s">
        <v>9</v>
      </c>
      <c r="B287" t="s">
        <v>309</v>
      </c>
      <c r="C287" t="s">
        <v>25</v>
      </c>
      <c r="D287" t="s">
        <v>26</v>
      </c>
      <c r="E287" t="s">
        <v>13</v>
      </c>
      <c r="F287" t="s">
        <v>29</v>
      </c>
      <c r="G287" s="1">
        <v>1808</v>
      </c>
      <c r="H287">
        <v>4</v>
      </c>
      <c r="I287" s="1">
        <f>supermarket_sales_new[[#This Row],[Unit price]]*supermarket_sales_new[[#This Row],[Quantity]]*5%</f>
        <v>361.6</v>
      </c>
      <c r="J287" s="1">
        <f>(supermarket_sales_new[[#This Row],[Unit price]]*supermarket_sales_new[[#This Row],[Quantity]])+supermarket_sales_new[[#This Row],[Tax 5%]]</f>
        <v>7593.6</v>
      </c>
    </row>
    <row r="288" spans="1:10" x14ac:dyDescent="0.35">
      <c r="A288" t="s">
        <v>9</v>
      </c>
      <c r="B288" t="s">
        <v>310</v>
      </c>
      <c r="C288" t="s">
        <v>11</v>
      </c>
      <c r="D288" t="s">
        <v>12</v>
      </c>
      <c r="E288" t="s">
        <v>18</v>
      </c>
      <c r="F288" t="s">
        <v>27</v>
      </c>
      <c r="G288" s="1">
        <v>5234</v>
      </c>
      <c r="H288">
        <v>3</v>
      </c>
      <c r="I288" s="1">
        <f>supermarket_sales_new[[#This Row],[Unit price]]*supermarket_sales_new[[#This Row],[Quantity]]*5%</f>
        <v>785.1</v>
      </c>
      <c r="J288" s="1">
        <f>(supermarket_sales_new[[#This Row],[Unit price]]*supermarket_sales_new[[#This Row],[Quantity]])+supermarket_sales_new[[#This Row],[Tax 5%]]</f>
        <v>16487.099999999999</v>
      </c>
    </row>
    <row r="289" spans="1:10" x14ac:dyDescent="0.35">
      <c r="A289" t="s">
        <v>9</v>
      </c>
      <c r="B289" t="s">
        <v>311</v>
      </c>
      <c r="C289" t="s">
        <v>11</v>
      </c>
      <c r="D289" t="s">
        <v>12</v>
      </c>
      <c r="E289" t="s">
        <v>18</v>
      </c>
      <c r="F289" t="s">
        <v>33</v>
      </c>
      <c r="G289" s="1">
        <v>4306</v>
      </c>
      <c r="H289">
        <v>5</v>
      </c>
      <c r="I289" s="1">
        <f>supermarket_sales_new[[#This Row],[Unit price]]*supermarket_sales_new[[#This Row],[Quantity]]*5%</f>
        <v>1076.5</v>
      </c>
      <c r="J289" s="1">
        <f>(supermarket_sales_new[[#This Row],[Unit price]]*supermarket_sales_new[[#This Row],[Quantity]])+supermarket_sales_new[[#This Row],[Tax 5%]]</f>
        <v>22606.5</v>
      </c>
    </row>
    <row r="290" spans="1:10" x14ac:dyDescent="0.35">
      <c r="A290" t="s">
        <v>9</v>
      </c>
      <c r="B290" t="s">
        <v>312</v>
      </c>
      <c r="C290" t="s">
        <v>16</v>
      </c>
      <c r="D290" t="s">
        <v>17</v>
      </c>
      <c r="E290" t="s">
        <v>13</v>
      </c>
      <c r="F290" t="s">
        <v>22</v>
      </c>
      <c r="G290" s="1">
        <v>2424</v>
      </c>
      <c r="H290">
        <v>7</v>
      </c>
      <c r="I290" s="1">
        <f>supermarket_sales_new[[#This Row],[Unit price]]*supermarket_sales_new[[#This Row],[Quantity]]*5%</f>
        <v>848.40000000000009</v>
      </c>
      <c r="J290" s="1">
        <f>(supermarket_sales_new[[#This Row],[Unit price]]*supermarket_sales_new[[#This Row],[Quantity]])+supermarket_sales_new[[#This Row],[Tax 5%]]</f>
        <v>17816.400000000001</v>
      </c>
    </row>
    <row r="291" spans="1:10" x14ac:dyDescent="0.35">
      <c r="A291" t="s">
        <v>9</v>
      </c>
      <c r="B291" t="s">
        <v>313</v>
      </c>
      <c r="C291" t="s">
        <v>11</v>
      </c>
      <c r="D291" t="s">
        <v>12</v>
      </c>
      <c r="E291" t="s">
        <v>13</v>
      </c>
      <c r="F291" t="s">
        <v>33</v>
      </c>
      <c r="G291" s="1">
        <v>4558</v>
      </c>
      <c r="H291">
        <v>1</v>
      </c>
      <c r="I291" s="1">
        <f>supermarket_sales_new[[#This Row],[Unit price]]*supermarket_sales_new[[#This Row],[Quantity]]*5%</f>
        <v>227.9</v>
      </c>
      <c r="J291" s="1">
        <f>(supermarket_sales_new[[#This Row],[Unit price]]*supermarket_sales_new[[#This Row],[Quantity]])+supermarket_sales_new[[#This Row],[Tax 5%]]</f>
        <v>4785.8999999999996</v>
      </c>
    </row>
    <row r="292" spans="1:10" x14ac:dyDescent="0.35">
      <c r="A292" t="s">
        <v>9</v>
      </c>
      <c r="B292" t="s">
        <v>314</v>
      </c>
      <c r="C292" t="s">
        <v>11</v>
      </c>
      <c r="D292" t="s">
        <v>12</v>
      </c>
      <c r="E292" t="s">
        <v>13</v>
      </c>
      <c r="F292" t="s">
        <v>33</v>
      </c>
      <c r="G292" s="1">
        <v>752</v>
      </c>
      <c r="H292">
        <v>3</v>
      </c>
      <c r="I292" s="1">
        <f>supermarket_sales_new[[#This Row],[Unit price]]*supermarket_sales_new[[#This Row],[Quantity]]*5%</f>
        <v>112.80000000000001</v>
      </c>
      <c r="J292" s="1">
        <f>(supermarket_sales_new[[#This Row],[Unit price]]*supermarket_sales_new[[#This Row],[Quantity]])+supermarket_sales_new[[#This Row],[Tax 5%]]</f>
        <v>2368.8000000000002</v>
      </c>
    </row>
    <row r="293" spans="1:10" x14ac:dyDescent="0.35">
      <c r="A293" t="s">
        <v>9</v>
      </c>
      <c r="B293" t="s">
        <v>315</v>
      </c>
      <c r="C293" t="s">
        <v>16</v>
      </c>
      <c r="D293" t="s">
        <v>17</v>
      </c>
      <c r="E293" t="s">
        <v>18</v>
      </c>
      <c r="F293" t="s">
        <v>33</v>
      </c>
      <c r="G293" s="1">
        <v>4666</v>
      </c>
      <c r="H293">
        <v>9</v>
      </c>
      <c r="I293" s="1">
        <f>supermarket_sales_new[[#This Row],[Unit price]]*supermarket_sales_new[[#This Row],[Quantity]]*5%</f>
        <v>2099.7000000000003</v>
      </c>
      <c r="J293" s="1">
        <f>(supermarket_sales_new[[#This Row],[Unit price]]*supermarket_sales_new[[#This Row],[Quantity]])+supermarket_sales_new[[#This Row],[Tax 5%]]</f>
        <v>44093.7</v>
      </c>
    </row>
    <row r="294" spans="1:10" x14ac:dyDescent="0.35">
      <c r="A294" t="s">
        <v>9</v>
      </c>
      <c r="B294" t="s">
        <v>316</v>
      </c>
      <c r="C294" t="s">
        <v>16</v>
      </c>
      <c r="D294" t="s">
        <v>17</v>
      </c>
      <c r="E294" t="s">
        <v>18</v>
      </c>
      <c r="F294" t="s">
        <v>29</v>
      </c>
      <c r="G294" s="1">
        <v>3685</v>
      </c>
      <c r="H294">
        <v>5</v>
      </c>
      <c r="I294" s="1">
        <f>supermarket_sales_new[[#This Row],[Unit price]]*supermarket_sales_new[[#This Row],[Quantity]]*5%</f>
        <v>921.25</v>
      </c>
      <c r="J294" s="1">
        <f>(supermarket_sales_new[[#This Row],[Unit price]]*supermarket_sales_new[[#This Row],[Quantity]])+supermarket_sales_new[[#This Row],[Tax 5%]]</f>
        <v>19346.25</v>
      </c>
    </row>
    <row r="295" spans="1:10" x14ac:dyDescent="0.35">
      <c r="A295" t="s">
        <v>9</v>
      </c>
      <c r="B295" t="s">
        <v>317</v>
      </c>
      <c r="C295" t="s">
        <v>11</v>
      </c>
      <c r="D295" t="s">
        <v>12</v>
      </c>
      <c r="E295" t="s">
        <v>13</v>
      </c>
      <c r="F295" t="s">
        <v>22</v>
      </c>
      <c r="G295" s="1">
        <v>7032</v>
      </c>
      <c r="H295">
        <v>2</v>
      </c>
      <c r="I295" s="1">
        <f>supermarket_sales_new[[#This Row],[Unit price]]*supermarket_sales_new[[#This Row],[Quantity]]*5%</f>
        <v>703.2</v>
      </c>
      <c r="J295" s="1">
        <f>(supermarket_sales_new[[#This Row],[Unit price]]*supermarket_sales_new[[#This Row],[Quantity]])+supermarket_sales_new[[#This Row],[Tax 5%]]</f>
        <v>14767.2</v>
      </c>
    </row>
    <row r="296" spans="1:10" x14ac:dyDescent="0.35">
      <c r="A296" t="s">
        <v>9</v>
      </c>
      <c r="B296" t="s">
        <v>318</v>
      </c>
      <c r="C296" t="s">
        <v>16</v>
      </c>
      <c r="D296" t="s">
        <v>17</v>
      </c>
      <c r="E296" t="s">
        <v>18</v>
      </c>
      <c r="F296" t="s">
        <v>29</v>
      </c>
      <c r="G296" s="1">
        <v>6499</v>
      </c>
      <c r="H296">
        <v>1</v>
      </c>
      <c r="I296" s="1">
        <f>supermarket_sales_new[[#This Row],[Unit price]]*supermarket_sales_new[[#This Row],[Quantity]]*5%</f>
        <v>324.95000000000005</v>
      </c>
      <c r="J296" s="1">
        <f>(supermarket_sales_new[[#This Row],[Unit price]]*supermarket_sales_new[[#This Row],[Quantity]])+supermarket_sales_new[[#This Row],[Tax 5%]]</f>
        <v>6823.95</v>
      </c>
    </row>
    <row r="297" spans="1:10" x14ac:dyDescent="0.35">
      <c r="A297" t="s">
        <v>9</v>
      </c>
      <c r="B297" t="s">
        <v>319</v>
      </c>
      <c r="C297" t="s">
        <v>25</v>
      </c>
      <c r="D297" t="s">
        <v>26</v>
      </c>
      <c r="E297" t="s">
        <v>18</v>
      </c>
      <c r="F297" t="s">
        <v>33</v>
      </c>
      <c r="G297" s="1">
        <v>5451</v>
      </c>
      <c r="H297">
        <v>6</v>
      </c>
      <c r="I297" s="1">
        <f>supermarket_sales_new[[#This Row],[Unit price]]*supermarket_sales_new[[#This Row],[Quantity]]*5%</f>
        <v>1635.3000000000002</v>
      </c>
      <c r="J297" s="1">
        <f>(supermarket_sales_new[[#This Row],[Unit price]]*supermarket_sales_new[[#This Row],[Quantity]])+supermarket_sales_new[[#This Row],[Tax 5%]]</f>
        <v>34341.300000000003</v>
      </c>
    </row>
    <row r="298" spans="1:10" x14ac:dyDescent="0.35">
      <c r="A298" t="s">
        <v>9</v>
      </c>
      <c r="B298" t="s">
        <v>320</v>
      </c>
      <c r="C298" t="s">
        <v>16</v>
      </c>
      <c r="D298" t="s">
        <v>17</v>
      </c>
      <c r="E298" t="s">
        <v>13</v>
      </c>
      <c r="F298" t="s">
        <v>29</v>
      </c>
      <c r="G298" s="1">
        <v>5189</v>
      </c>
      <c r="H298">
        <v>7</v>
      </c>
      <c r="I298" s="1">
        <f>supermarket_sales_new[[#This Row],[Unit price]]*supermarket_sales_new[[#This Row],[Quantity]]*5%</f>
        <v>1816.15</v>
      </c>
      <c r="J298" s="1">
        <f>(supermarket_sales_new[[#This Row],[Unit price]]*supermarket_sales_new[[#This Row],[Quantity]])+supermarket_sales_new[[#This Row],[Tax 5%]]</f>
        <v>38139.15</v>
      </c>
    </row>
    <row r="299" spans="1:10" x14ac:dyDescent="0.35">
      <c r="A299" t="s">
        <v>9</v>
      </c>
      <c r="B299" t="s">
        <v>321</v>
      </c>
      <c r="C299" t="s">
        <v>11</v>
      </c>
      <c r="D299" t="s">
        <v>12</v>
      </c>
      <c r="E299" t="s">
        <v>13</v>
      </c>
      <c r="F299" t="s">
        <v>29</v>
      </c>
      <c r="G299" s="1">
        <v>5365</v>
      </c>
      <c r="H299">
        <v>7</v>
      </c>
      <c r="I299" s="1">
        <f>supermarket_sales_new[[#This Row],[Unit price]]*supermarket_sales_new[[#This Row],[Quantity]]*5%</f>
        <v>1877.75</v>
      </c>
      <c r="J299" s="1">
        <f>(supermarket_sales_new[[#This Row],[Unit price]]*supermarket_sales_new[[#This Row],[Quantity]])+supermarket_sales_new[[#This Row],[Tax 5%]]</f>
        <v>39432.75</v>
      </c>
    </row>
    <row r="300" spans="1:10" x14ac:dyDescent="0.35">
      <c r="A300" t="s">
        <v>9</v>
      </c>
      <c r="B300" t="s">
        <v>322</v>
      </c>
      <c r="C300" t="s">
        <v>16</v>
      </c>
      <c r="D300" t="s">
        <v>17</v>
      </c>
      <c r="E300" t="s">
        <v>13</v>
      </c>
      <c r="F300" t="s">
        <v>27</v>
      </c>
      <c r="G300" s="1">
        <v>4979</v>
      </c>
      <c r="H300">
        <v>4</v>
      </c>
      <c r="I300" s="1">
        <f>supermarket_sales_new[[#This Row],[Unit price]]*supermarket_sales_new[[#This Row],[Quantity]]*5%</f>
        <v>995.80000000000007</v>
      </c>
      <c r="J300" s="1">
        <f>(supermarket_sales_new[[#This Row],[Unit price]]*supermarket_sales_new[[#This Row],[Quantity]])+supermarket_sales_new[[#This Row],[Tax 5%]]</f>
        <v>20911.8</v>
      </c>
    </row>
    <row r="301" spans="1:10" x14ac:dyDescent="0.35">
      <c r="A301" t="s">
        <v>9</v>
      </c>
      <c r="B301" t="s">
        <v>323</v>
      </c>
      <c r="C301" t="s">
        <v>11</v>
      </c>
      <c r="D301" t="s">
        <v>12</v>
      </c>
      <c r="E301" t="s">
        <v>18</v>
      </c>
      <c r="F301" t="s">
        <v>19</v>
      </c>
      <c r="G301" s="1">
        <v>2896</v>
      </c>
      <c r="H301">
        <v>1</v>
      </c>
      <c r="I301" s="1">
        <f>supermarket_sales_new[[#This Row],[Unit price]]*supermarket_sales_new[[#This Row],[Quantity]]*5%</f>
        <v>144.80000000000001</v>
      </c>
      <c r="J301" s="1">
        <f>(supermarket_sales_new[[#This Row],[Unit price]]*supermarket_sales_new[[#This Row],[Quantity]])+supermarket_sales_new[[#This Row],[Tax 5%]]</f>
        <v>3040.8</v>
      </c>
    </row>
    <row r="302" spans="1:10" x14ac:dyDescent="0.35">
      <c r="A302" t="s">
        <v>9</v>
      </c>
      <c r="B302" t="s">
        <v>324</v>
      </c>
      <c r="C302" t="s">
        <v>16</v>
      </c>
      <c r="D302" t="s">
        <v>17</v>
      </c>
      <c r="E302" t="s">
        <v>13</v>
      </c>
      <c r="F302" t="s">
        <v>27</v>
      </c>
      <c r="G302" s="1">
        <v>9897</v>
      </c>
      <c r="H302">
        <v>9</v>
      </c>
      <c r="I302" s="1">
        <f>supermarket_sales_new[[#This Row],[Unit price]]*supermarket_sales_new[[#This Row],[Quantity]]*5%</f>
        <v>4453.6500000000005</v>
      </c>
      <c r="J302" s="1">
        <f>(supermarket_sales_new[[#This Row],[Unit price]]*supermarket_sales_new[[#This Row],[Quantity]])+supermarket_sales_new[[#This Row],[Tax 5%]]</f>
        <v>93526.65</v>
      </c>
    </row>
    <row r="303" spans="1:10" x14ac:dyDescent="0.35">
      <c r="A303" t="s">
        <v>9</v>
      </c>
      <c r="B303" t="s">
        <v>325</v>
      </c>
      <c r="C303" t="s">
        <v>11</v>
      </c>
      <c r="D303" t="s">
        <v>12</v>
      </c>
      <c r="E303" t="s">
        <v>13</v>
      </c>
      <c r="F303" t="s">
        <v>33</v>
      </c>
      <c r="G303" s="1">
        <v>3872</v>
      </c>
      <c r="H303">
        <v>9</v>
      </c>
      <c r="I303" s="1">
        <f>supermarket_sales_new[[#This Row],[Unit price]]*supermarket_sales_new[[#This Row],[Quantity]]*5%</f>
        <v>1742.4</v>
      </c>
      <c r="J303" s="1">
        <f>(supermarket_sales_new[[#This Row],[Unit price]]*supermarket_sales_new[[#This Row],[Quantity]])+supermarket_sales_new[[#This Row],[Tax 5%]]</f>
        <v>36590.400000000001</v>
      </c>
    </row>
    <row r="304" spans="1:10" x14ac:dyDescent="0.35">
      <c r="A304" t="s">
        <v>9</v>
      </c>
      <c r="B304" t="s">
        <v>326</v>
      </c>
      <c r="C304" t="s">
        <v>16</v>
      </c>
      <c r="D304" t="s">
        <v>17</v>
      </c>
      <c r="E304" t="s">
        <v>13</v>
      </c>
      <c r="F304" t="s">
        <v>29</v>
      </c>
      <c r="G304" s="1">
        <v>4346</v>
      </c>
      <c r="H304">
        <v>6</v>
      </c>
      <c r="I304" s="1">
        <f>supermarket_sales_new[[#This Row],[Unit price]]*supermarket_sales_new[[#This Row],[Quantity]]*5%</f>
        <v>1303.8000000000002</v>
      </c>
      <c r="J304" s="1">
        <f>(supermarket_sales_new[[#This Row],[Unit price]]*supermarket_sales_new[[#This Row],[Quantity]])+supermarket_sales_new[[#This Row],[Tax 5%]]</f>
        <v>27379.8</v>
      </c>
    </row>
    <row r="305" spans="1:10" x14ac:dyDescent="0.35">
      <c r="A305" t="s">
        <v>9</v>
      </c>
      <c r="B305" t="s">
        <v>327</v>
      </c>
      <c r="C305" t="s">
        <v>11</v>
      </c>
      <c r="D305" t="s">
        <v>12</v>
      </c>
      <c r="E305" t="s">
        <v>18</v>
      </c>
      <c r="F305" t="s">
        <v>27</v>
      </c>
      <c r="G305" s="1">
        <v>7168</v>
      </c>
      <c r="H305">
        <v>3</v>
      </c>
      <c r="I305" s="1">
        <f>supermarket_sales_new[[#This Row],[Unit price]]*supermarket_sales_new[[#This Row],[Quantity]]*5%</f>
        <v>1075.2</v>
      </c>
      <c r="J305" s="1">
        <f>(supermarket_sales_new[[#This Row],[Unit price]]*supermarket_sales_new[[#This Row],[Quantity]])+supermarket_sales_new[[#This Row],[Tax 5%]]</f>
        <v>22579.200000000001</v>
      </c>
    </row>
    <row r="306" spans="1:10" x14ac:dyDescent="0.35">
      <c r="A306" t="s">
        <v>9</v>
      </c>
      <c r="B306" t="s">
        <v>328</v>
      </c>
      <c r="C306" t="s">
        <v>11</v>
      </c>
      <c r="D306" t="s">
        <v>12</v>
      </c>
      <c r="E306" t="s">
        <v>13</v>
      </c>
      <c r="F306" t="s">
        <v>27</v>
      </c>
      <c r="G306" s="1">
        <v>9161</v>
      </c>
      <c r="H306">
        <v>1</v>
      </c>
      <c r="I306" s="1">
        <f>supermarket_sales_new[[#This Row],[Unit price]]*supermarket_sales_new[[#This Row],[Quantity]]*5%</f>
        <v>458.05</v>
      </c>
      <c r="J306" s="1">
        <f>(supermarket_sales_new[[#This Row],[Unit price]]*supermarket_sales_new[[#This Row],[Quantity]])+supermarket_sales_new[[#This Row],[Tax 5%]]</f>
        <v>9619.0499999999993</v>
      </c>
    </row>
    <row r="307" spans="1:10" x14ac:dyDescent="0.35">
      <c r="A307" t="s">
        <v>9</v>
      </c>
      <c r="B307" t="s">
        <v>329</v>
      </c>
      <c r="C307" t="s">
        <v>25</v>
      </c>
      <c r="D307" t="s">
        <v>26</v>
      </c>
      <c r="E307" t="s">
        <v>13</v>
      </c>
      <c r="F307" t="s">
        <v>22</v>
      </c>
      <c r="G307" s="1">
        <v>9459</v>
      </c>
      <c r="H307">
        <v>7</v>
      </c>
      <c r="I307" s="1">
        <f>supermarket_sales_new[[#This Row],[Unit price]]*supermarket_sales_new[[#This Row],[Quantity]]*5%</f>
        <v>3310.65</v>
      </c>
      <c r="J307" s="1">
        <f>(supermarket_sales_new[[#This Row],[Unit price]]*supermarket_sales_new[[#This Row],[Quantity]])+supermarket_sales_new[[#This Row],[Tax 5%]]</f>
        <v>69523.649999999994</v>
      </c>
    </row>
    <row r="308" spans="1:10" x14ac:dyDescent="0.35">
      <c r="A308" t="s">
        <v>9</v>
      </c>
      <c r="B308" t="s">
        <v>330</v>
      </c>
      <c r="C308" t="s">
        <v>25</v>
      </c>
      <c r="D308" t="s">
        <v>26</v>
      </c>
      <c r="E308" t="s">
        <v>18</v>
      </c>
      <c r="F308" t="s">
        <v>29</v>
      </c>
      <c r="G308" s="1">
        <v>8325</v>
      </c>
      <c r="H308">
        <v>10</v>
      </c>
      <c r="I308" s="1">
        <f>supermarket_sales_new[[#This Row],[Unit price]]*supermarket_sales_new[[#This Row],[Quantity]]*5%</f>
        <v>4162.5</v>
      </c>
      <c r="J308" s="1">
        <f>(supermarket_sales_new[[#This Row],[Unit price]]*supermarket_sales_new[[#This Row],[Quantity]])+supermarket_sales_new[[#This Row],[Tax 5%]]</f>
        <v>87412.5</v>
      </c>
    </row>
    <row r="309" spans="1:10" x14ac:dyDescent="0.35">
      <c r="A309" t="s">
        <v>9</v>
      </c>
      <c r="B309" t="s">
        <v>331</v>
      </c>
      <c r="C309" t="s">
        <v>25</v>
      </c>
      <c r="D309" t="s">
        <v>26</v>
      </c>
      <c r="E309" t="s">
        <v>13</v>
      </c>
      <c r="F309" t="s">
        <v>27</v>
      </c>
      <c r="G309" s="1">
        <v>7888</v>
      </c>
      <c r="H309">
        <v>2</v>
      </c>
      <c r="I309" s="1">
        <f>supermarket_sales_new[[#This Row],[Unit price]]*supermarket_sales_new[[#This Row],[Quantity]]*5%</f>
        <v>788.80000000000007</v>
      </c>
      <c r="J309" s="1">
        <f>(supermarket_sales_new[[#This Row],[Unit price]]*supermarket_sales_new[[#This Row],[Quantity]])+supermarket_sales_new[[#This Row],[Tax 5%]]</f>
        <v>16564.8</v>
      </c>
    </row>
    <row r="310" spans="1:10" x14ac:dyDescent="0.35">
      <c r="A310" t="s">
        <v>9</v>
      </c>
      <c r="B310" t="s">
        <v>332</v>
      </c>
      <c r="C310" t="s">
        <v>11</v>
      </c>
      <c r="D310" t="s">
        <v>12</v>
      </c>
      <c r="E310" t="s">
        <v>18</v>
      </c>
      <c r="F310" t="s">
        <v>29</v>
      </c>
      <c r="G310" s="1">
        <v>1209</v>
      </c>
      <c r="H310">
        <v>1</v>
      </c>
      <c r="I310" s="1">
        <f>supermarket_sales_new[[#This Row],[Unit price]]*supermarket_sales_new[[#This Row],[Quantity]]*5%</f>
        <v>60.45</v>
      </c>
      <c r="J310" s="1">
        <f>(supermarket_sales_new[[#This Row],[Unit price]]*supermarket_sales_new[[#This Row],[Quantity]])+supermarket_sales_new[[#This Row],[Tax 5%]]</f>
        <v>1269.45</v>
      </c>
    </row>
    <row r="311" spans="1:10" x14ac:dyDescent="0.35">
      <c r="A311" t="s">
        <v>9</v>
      </c>
      <c r="B311" t="s">
        <v>333</v>
      </c>
      <c r="C311" t="s">
        <v>16</v>
      </c>
      <c r="D311" t="s">
        <v>17</v>
      </c>
      <c r="E311" t="s">
        <v>18</v>
      </c>
      <c r="F311" t="s">
        <v>19</v>
      </c>
      <c r="G311" s="1">
        <v>462</v>
      </c>
      <c r="H311">
        <v>1</v>
      </c>
      <c r="I311" s="1">
        <f>supermarket_sales_new[[#This Row],[Unit price]]*supermarket_sales_new[[#This Row],[Quantity]]*5%</f>
        <v>23.1</v>
      </c>
      <c r="J311" s="1">
        <f>(supermarket_sales_new[[#This Row],[Unit price]]*supermarket_sales_new[[#This Row],[Quantity]])+supermarket_sales_new[[#This Row],[Tax 5%]]</f>
        <v>485.1</v>
      </c>
    </row>
    <row r="312" spans="1:10" x14ac:dyDescent="0.35">
      <c r="A312" t="s">
        <v>9</v>
      </c>
      <c r="B312" t="s">
        <v>334</v>
      </c>
      <c r="C312" t="s">
        <v>25</v>
      </c>
      <c r="D312" t="s">
        <v>26</v>
      </c>
      <c r="E312" t="s">
        <v>13</v>
      </c>
      <c r="F312" t="s">
        <v>27</v>
      </c>
      <c r="G312" s="1">
        <v>1763</v>
      </c>
      <c r="H312">
        <v>5</v>
      </c>
      <c r="I312" s="1">
        <f>supermarket_sales_new[[#This Row],[Unit price]]*supermarket_sales_new[[#This Row],[Quantity]]*5%</f>
        <v>440.75</v>
      </c>
      <c r="J312" s="1">
        <f>(supermarket_sales_new[[#This Row],[Unit price]]*supermarket_sales_new[[#This Row],[Quantity]])+supermarket_sales_new[[#This Row],[Tax 5%]]</f>
        <v>9255.75</v>
      </c>
    </row>
    <row r="313" spans="1:10" x14ac:dyDescent="0.35">
      <c r="A313" t="s">
        <v>9</v>
      </c>
      <c r="B313" t="s">
        <v>335</v>
      </c>
      <c r="C313" t="s">
        <v>25</v>
      </c>
      <c r="D313" t="s">
        <v>26</v>
      </c>
      <c r="E313" t="s">
        <v>13</v>
      </c>
      <c r="F313" t="s">
        <v>27</v>
      </c>
      <c r="G313" s="1">
        <v>9879</v>
      </c>
      <c r="H313">
        <v>3</v>
      </c>
      <c r="I313" s="1">
        <f>supermarket_sales_new[[#This Row],[Unit price]]*supermarket_sales_new[[#This Row],[Quantity]]*5%</f>
        <v>1481.8500000000001</v>
      </c>
      <c r="J313" s="1">
        <f>(supermarket_sales_new[[#This Row],[Unit price]]*supermarket_sales_new[[#This Row],[Quantity]])+supermarket_sales_new[[#This Row],[Tax 5%]]</f>
        <v>31118.85</v>
      </c>
    </row>
    <row r="314" spans="1:10" x14ac:dyDescent="0.35">
      <c r="A314" t="s">
        <v>9</v>
      </c>
      <c r="B314" t="s">
        <v>336</v>
      </c>
      <c r="C314" t="s">
        <v>16</v>
      </c>
      <c r="D314" t="s">
        <v>17</v>
      </c>
      <c r="E314" t="s">
        <v>13</v>
      </c>
      <c r="F314" t="s">
        <v>19</v>
      </c>
      <c r="G314" s="1">
        <v>8855</v>
      </c>
      <c r="H314">
        <v>8</v>
      </c>
      <c r="I314" s="1">
        <f>supermarket_sales_new[[#This Row],[Unit price]]*supermarket_sales_new[[#This Row],[Quantity]]*5%</f>
        <v>3542</v>
      </c>
      <c r="J314" s="1">
        <f>(supermarket_sales_new[[#This Row],[Unit price]]*supermarket_sales_new[[#This Row],[Quantity]])+supermarket_sales_new[[#This Row],[Tax 5%]]</f>
        <v>74382</v>
      </c>
    </row>
    <row r="315" spans="1:10" x14ac:dyDescent="0.35">
      <c r="A315" t="s">
        <v>9</v>
      </c>
      <c r="B315" t="s">
        <v>337</v>
      </c>
      <c r="C315" t="s">
        <v>16</v>
      </c>
      <c r="D315" t="s">
        <v>17</v>
      </c>
      <c r="E315" t="s">
        <v>13</v>
      </c>
      <c r="F315" t="s">
        <v>27</v>
      </c>
      <c r="G315" s="1">
        <v>7252</v>
      </c>
      <c r="H315">
        <v>8</v>
      </c>
      <c r="I315" s="1">
        <f>supermarket_sales_new[[#This Row],[Unit price]]*supermarket_sales_new[[#This Row],[Quantity]]*5%</f>
        <v>2900.8</v>
      </c>
      <c r="J315" s="1">
        <f>(supermarket_sales_new[[#This Row],[Unit price]]*supermarket_sales_new[[#This Row],[Quantity]])+supermarket_sales_new[[#This Row],[Tax 5%]]</f>
        <v>60916.800000000003</v>
      </c>
    </row>
    <row r="316" spans="1:10" x14ac:dyDescent="0.35">
      <c r="A316" t="s">
        <v>9</v>
      </c>
      <c r="B316" t="s">
        <v>338</v>
      </c>
      <c r="C316" t="s">
        <v>16</v>
      </c>
      <c r="D316" t="s">
        <v>17</v>
      </c>
      <c r="E316" t="s">
        <v>13</v>
      </c>
      <c r="F316" t="s">
        <v>33</v>
      </c>
      <c r="G316" s="1">
        <v>1549</v>
      </c>
      <c r="H316">
        <v>2</v>
      </c>
      <c r="I316" s="1">
        <f>supermarket_sales_new[[#This Row],[Unit price]]*supermarket_sales_new[[#This Row],[Quantity]]*5%</f>
        <v>154.9</v>
      </c>
      <c r="J316" s="1">
        <f>(supermarket_sales_new[[#This Row],[Unit price]]*supermarket_sales_new[[#This Row],[Quantity]])+supermarket_sales_new[[#This Row],[Tax 5%]]</f>
        <v>3252.9</v>
      </c>
    </row>
    <row r="317" spans="1:10" x14ac:dyDescent="0.35">
      <c r="A317" t="s">
        <v>9</v>
      </c>
      <c r="B317" t="s">
        <v>339</v>
      </c>
      <c r="C317" t="s">
        <v>25</v>
      </c>
      <c r="D317" t="s">
        <v>26</v>
      </c>
      <c r="E317" t="s">
        <v>18</v>
      </c>
      <c r="F317" t="s">
        <v>14</v>
      </c>
      <c r="G317" s="1">
        <v>5581</v>
      </c>
      <c r="H317">
        <v>6</v>
      </c>
      <c r="I317" s="1">
        <f>supermarket_sales_new[[#This Row],[Unit price]]*supermarket_sales_new[[#This Row],[Quantity]]*5%</f>
        <v>1674.3000000000002</v>
      </c>
      <c r="J317" s="1">
        <f>(supermarket_sales_new[[#This Row],[Unit price]]*supermarket_sales_new[[#This Row],[Quantity]])+supermarket_sales_new[[#This Row],[Tax 5%]]</f>
        <v>35160.300000000003</v>
      </c>
    </row>
    <row r="318" spans="1:10" x14ac:dyDescent="0.35">
      <c r="A318" t="s">
        <v>9</v>
      </c>
      <c r="B318" t="s">
        <v>340</v>
      </c>
      <c r="C318" t="s">
        <v>11</v>
      </c>
      <c r="D318" t="s">
        <v>12</v>
      </c>
      <c r="E318" t="s">
        <v>18</v>
      </c>
      <c r="F318" t="s">
        <v>19</v>
      </c>
      <c r="G318" s="1">
        <v>1569</v>
      </c>
      <c r="H318">
        <v>3</v>
      </c>
      <c r="I318" s="1">
        <f>supermarket_sales_new[[#This Row],[Unit price]]*supermarket_sales_new[[#This Row],[Quantity]]*5%</f>
        <v>235.35000000000002</v>
      </c>
      <c r="J318" s="1">
        <f>(supermarket_sales_new[[#This Row],[Unit price]]*supermarket_sales_new[[#This Row],[Quantity]])+supermarket_sales_new[[#This Row],[Tax 5%]]</f>
        <v>4942.3500000000004</v>
      </c>
    </row>
    <row r="319" spans="1:10" x14ac:dyDescent="0.35">
      <c r="A319" t="s">
        <v>9</v>
      </c>
      <c r="B319" t="s">
        <v>341</v>
      </c>
      <c r="C319" t="s">
        <v>16</v>
      </c>
      <c r="D319" t="s">
        <v>17</v>
      </c>
      <c r="E319" t="s">
        <v>18</v>
      </c>
      <c r="F319" t="s">
        <v>19</v>
      </c>
      <c r="G319" s="1">
        <v>9969</v>
      </c>
      <c r="H319">
        <v>1</v>
      </c>
      <c r="I319" s="1">
        <f>supermarket_sales_new[[#This Row],[Unit price]]*supermarket_sales_new[[#This Row],[Quantity]]*5%</f>
        <v>498.45000000000005</v>
      </c>
      <c r="J319" s="1">
        <f>(supermarket_sales_new[[#This Row],[Unit price]]*supermarket_sales_new[[#This Row],[Quantity]])+supermarket_sales_new[[#This Row],[Tax 5%]]</f>
        <v>10467.450000000001</v>
      </c>
    </row>
    <row r="320" spans="1:10" x14ac:dyDescent="0.35">
      <c r="A320" t="s">
        <v>9</v>
      </c>
      <c r="B320" t="s">
        <v>342</v>
      </c>
      <c r="C320" t="s">
        <v>11</v>
      </c>
      <c r="D320" t="s">
        <v>12</v>
      </c>
      <c r="E320" t="s">
        <v>13</v>
      </c>
      <c r="F320" t="s">
        <v>29</v>
      </c>
      <c r="G320" s="1">
        <v>8815</v>
      </c>
      <c r="H320">
        <v>3</v>
      </c>
      <c r="I320" s="1">
        <f>supermarket_sales_new[[#This Row],[Unit price]]*supermarket_sales_new[[#This Row],[Quantity]]*5%</f>
        <v>1322.25</v>
      </c>
      <c r="J320" s="1">
        <f>(supermarket_sales_new[[#This Row],[Unit price]]*supermarket_sales_new[[#This Row],[Quantity]])+supermarket_sales_new[[#This Row],[Tax 5%]]</f>
        <v>27767.25</v>
      </c>
    </row>
    <row r="321" spans="1:10" x14ac:dyDescent="0.35">
      <c r="A321" t="s">
        <v>9</v>
      </c>
      <c r="B321" t="s">
        <v>343</v>
      </c>
      <c r="C321" t="s">
        <v>11</v>
      </c>
      <c r="D321" t="s">
        <v>12</v>
      </c>
      <c r="E321" t="s">
        <v>13</v>
      </c>
      <c r="F321" t="s">
        <v>33</v>
      </c>
      <c r="G321" s="1">
        <v>2793</v>
      </c>
      <c r="H321">
        <v>5</v>
      </c>
      <c r="I321" s="1">
        <f>supermarket_sales_new[[#This Row],[Unit price]]*supermarket_sales_new[[#This Row],[Quantity]]*5%</f>
        <v>698.25</v>
      </c>
      <c r="J321" s="1">
        <f>(supermarket_sales_new[[#This Row],[Unit price]]*supermarket_sales_new[[#This Row],[Quantity]])+supermarket_sales_new[[#This Row],[Tax 5%]]</f>
        <v>14663.25</v>
      </c>
    </row>
    <row r="322" spans="1:10" x14ac:dyDescent="0.35">
      <c r="A322" t="s">
        <v>9</v>
      </c>
      <c r="B322" t="s">
        <v>344</v>
      </c>
      <c r="C322" t="s">
        <v>25</v>
      </c>
      <c r="D322" t="s">
        <v>26</v>
      </c>
      <c r="E322" t="s">
        <v>18</v>
      </c>
      <c r="F322" t="s">
        <v>33</v>
      </c>
      <c r="G322" s="1">
        <v>4297</v>
      </c>
      <c r="H322">
        <v>3</v>
      </c>
      <c r="I322" s="1">
        <f>supermarket_sales_new[[#This Row],[Unit price]]*supermarket_sales_new[[#This Row],[Quantity]]*5%</f>
        <v>644.55000000000007</v>
      </c>
      <c r="J322" s="1">
        <f>(supermarket_sales_new[[#This Row],[Unit price]]*supermarket_sales_new[[#This Row],[Quantity]])+supermarket_sales_new[[#This Row],[Tax 5%]]</f>
        <v>13535.55</v>
      </c>
    </row>
    <row r="323" spans="1:10" x14ac:dyDescent="0.35">
      <c r="A323" t="s">
        <v>9</v>
      </c>
      <c r="B323" t="s">
        <v>345</v>
      </c>
      <c r="C323" t="s">
        <v>25</v>
      </c>
      <c r="D323" t="s">
        <v>26</v>
      </c>
      <c r="E323" t="s">
        <v>13</v>
      </c>
      <c r="F323" t="s">
        <v>29</v>
      </c>
      <c r="G323" s="1">
        <v>5875</v>
      </c>
      <c r="H323">
        <v>6</v>
      </c>
      <c r="I323" s="1">
        <f>supermarket_sales_new[[#This Row],[Unit price]]*supermarket_sales_new[[#This Row],[Quantity]]*5%</f>
        <v>1762.5</v>
      </c>
      <c r="J323" s="1">
        <f>(supermarket_sales_new[[#This Row],[Unit price]]*supermarket_sales_new[[#This Row],[Quantity]])+supermarket_sales_new[[#This Row],[Tax 5%]]</f>
        <v>37012.5</v>
      </c>
    </row>
    <row r="324" spans="1:10" x14ac:dyDescent="0.35">
      <c r="A324" t="s">
        <v>9</v>
      </c>
      <c r="B324" t="s">
        <v>346</v>
      </c>
      <c r="C324" t="s">
        <v>16</v>
      </c>
      <c r="D324" t="s">
        <v>17</v>
      </c>
      <c r="E324" t="s">
        <v>13</v>
      </c>
      <c r="F324" t="s">
        <v>27</v>
      </c>
      <c r="G324" s="1">
        <v>871</v>
      </c>
      <c r="H324">
        <v>10</v>
      </c>
      <c r="I324" s="1">
        <f>supermarket_sales_new[[#This Row],[Unit price]]*supermarket_sales_new[[#This Row],[Quantity]]*5%</f>
        <v>435.5</v>
      </c>
      <c r="J324" s="1">
        <f>(supermarket_sales_new[[#This Row],[Unit price]]*supermarket_sales_new[[#This Row],[Quantity]])+supermarket_sales_new[[#This Row],[Tax 5%]]</f>
        <v>9145.5</v>
      </c>
    </row>
    <row r="325" spans="1:10" x14ac:dyDescent="0.35">
      <c r="A325" t="s">
        <v>9</v>
      </c>
      <c r="B325" t="s">
        <v>347</v>
      </c>
      <c r="C325" t="s">
        <v>16</v>
      </c>
      <c r="D325" t="s">
        <v>17</v>
      </c>
      <c r="E325" t="s">
        <v>18</v>
      </c>
      <c r="F325" t="s">
        <v>33</v>
      </c>
      <c r="G325" s="1">
        <v>988</v>
      </c>
      <c r="H325">
        <v>2</v>
      </c>
      <c r="I325" s="1">
        <f>supermarket_sales_new[[#This Row],[Unit price]]*supermarket_sales_new[[#This Row],[Quantity]]*5%</f>
        <v>98.800000000000011</v>
      </c>
      <c r="J325" s="1">
        <f>(supermarket_sales_new[[#This Row],[Unit price]]*supermarket_sales_new[[#This Row],[Quantity]])+supermarket_sales_new[[#This Row],[Tax 5%]]</f>
        <v>2074.8000000000002</v>
      </c>
    </row>
    <row r="326" spans="1:10" x14ac:dyDescent="0.35">
      <c r="A326" t="s">
        <v>9</v>
      </c>
      <c r="B326" t="s">
        <v>348</v>
      </c>
      <c r="C326" t="s">
        <v>11</v>
      </c>
      <c r="D326" t="s">
        <v>12</v>
      </c>
      <c r="E326" t="s">
        <v>18</v>
      </c>
      <c r="F326" t="s">
        <v>29</v>
      </c>
      <c r="G326" s="1">
        <v>4863</v>
      </c>
      <c r="H326">
        <v>4</v>
      </c>
      <c r="I326" s="1">
        <f>supermarket_sales_new[[#This Row],[Unit price]]*supermarket_sales_new[[#This Row],[Quantity]]*5%</f>
        <v>972.6</v>
      </c>
      <c r="J326" s="1">
        <f>(supermarket_sales_new[[#This Row],[Unit price]]*supermarket_sales_new[[#This Row],[Quantity]])+supermarket_sales_new[[#This Row],[Tax 5%]]</f>
        <v>20424.599999999999</v>
      </c>
    </row>
    <row r="327" spans="1:10" x14ac:dyDescent="0.35">
      <c r="A327" t="s">
        <v>9</v>
      </c>
      <c r="B327" t="s">
        <v>349</v>
      </c>
      <c r="C327" t="s">
        <v>25</v>
      </c>
      <c r="D327" t="s">
        <v>26</v>
      </c>
      <c r="E327" t="s">
        <v>18</v>
      </c>
      <c r="F327" t="s">
        <v>14</v>
      </c>
      <c r="G327" s="1">
        <v>1797</v>
      </c>
      <c r="H327">
        <v>4</v>
      </c>
      <c r="I327" s="1">
        <f>supermarket_sales_new[[#This Row],[Unit price]]*supermarket_sales_new[[#This Row],[Quantity]]*5%</f>
        <v>359.40000000000003</v>
      </c>
      <c r="J327" s="1">
        <f>(supermarket_sales_new[[#This Row],[Unit price]]*supermarket_sales_new[[#This Row],[Quantity]])+supermarket_sales_new[[#This Row],[Tax 5%]]</f>
        <v>7547.4</v>
      </c>
    </row>
    <row r="328" spans="1:10" x14ac:dyDescent="0.35">
      <c r="A328" t="s">
        <v>9</v>
      </c>
      <c r="B328" t="s">
        <v>350</v>
      </c>
      <c r="C328" t="s">
        <v>16</v>
      </c>
      <c r="D328" t="s">
        <v>17</v>
      </c>
      <c r="E328" t="s">
        <v>13</v>
      </c>
      <c r="F328" t="s">
        <v>14</v>
      </c>
      <c r="G328" s="1">
        <v>4771</v>
      </c>
      <c r="H328">
        <v>6</v>
      </c>
      <c r="I328" s="1">
        <f>supermarket_sales_new[[#This Row],[Unit price]]*supermarket_sales_new[[#This Row],[Quantity]]*5%</f>
        <v>1431.3000000000002</v>
      </c>
      <c r="J328" s="1">
        <f>(supermarket_sales_new[[#This Row],[Unit price]]*supermarket_sales_new[[#This Row],[Quantity]])+supermarket_sales_new[[#This Row],[Tax 5%]]</f>
        <v>30057.3</v>
      </c>
    </row>
    <row r="329" spans="1:10" x14ac:dyDescent="0.35">
      <c r="A329" t="s">
        <v>9</v>
      </c>
      <c r="B329" t="s">
        <v>351</v>
      </c>
      <c r="C329" t="s">
        <v>25</v>
      </c>
      <c r="D329" t="s">
        <v>26</v>
      </c>
      <c r="E329" t="s">
        <v>18</v>
      </c>
      <c r="F329" t="s">
        <v>33</v>
      </c>
      <c r="G329" s="1">
        <v>4062</v>
      </c>
      <c r="H329">
        <v>2</v>
      </c>
      <c r="I329" s="1">
        <f>supermarket_sales_new[[#This Row],[Unit price]]*supermarket_sales_new[[#This Row],[Quantity]]*5%</f>
        <v>406.20000000000005</v>
      </c>
      <c r="J329" s="1">
        <f>(supermarket_sales_new[[#This Row],[Unit price]]*supermarket_sales_new[[#This Row],[Quantity]])+supermarket_sales_new[[#This Row],[Tax 5%]]</f>
        <v>8530.2000000000007</v>
      </c>
    </row>
    <row r="330" spans="1:10" x14ac:dyDescent="0.35">
      <c r="A330" t="s">
        <v>9</v>
      </c>
      <c r="B330" t="s">
        <v>352</v>
      </c>
      <c r="C330" t="s">
        <v>25</v>
      </c>
      <c r="D330" t="s">
        <v>26</v>
      </c>
      <c r="E330" t="s">
        <v>18</v>
      </c>
      <c r="F330" t="s">
        <v>14</v>
      </c>
      <c r="G330" s="1">
        <v>7341</v>
      </c>
      <c r="H330">
        <v>3</v>
      </c>
      <c r="I330" s="1">
        <f>supermarket_sales_new[[#This Row],[Unit price]]*supermarket_sales_new[[#This Row],[Quantity]]*5%</f>
        <v>1101.1500000000001</v>
      </c>
      <c r="J330" s="1">
        <f>(supermarket_sales_new[[#This Row],[Unit price]]*supermarket_sales_new[[#This Row],[Quantity]])+supermarket_sales_new[[#This Row],[Tax 5%]]</f>
        <v>23124.15</v>
      </c>
    </row>
    <row r="331" spans="1:10" x14ac:dyDescent="0.35">
      <c r="A331" t="s">
        <v>9</v>
      </c>
      <c r="B331" t="s">
        <v>353</v>
      </c>
      <c r="C331" t="s">
        <v>11</v>
      </c>
      <c r="D331" t="s">
        <v>12</v>
      </c>
      <c r="E331" t="s">
        <v>18</v>
      </c>
      <c r="F331" t="s">
        <v>19</v>
      </c>
      <c r="G331" s="1">
        <v>4548</v>
      </c>
      <c r="H331">
        <v>10</v>
      </c>
      <c r="I331" s="1">
        <f>supermarket_sales_new[[#This Row],[Unit price]]*supermarket_sales_new[[#This Row],[Quantity]]*5%</f>
        <v>2274</v>
      </c>
      <c r="J331" s="1">
        <f>(supermarket_sales_new[[#This Row],[Unit price]]*supermarket_sales_new[[#This Row],[Quantity]])+supermarket_sales_new[[#This Row],[Tax 5%]]</f>
        <v>47754</v>
      </c>
    </row>
    <row r="332" spans="1:10" x14ac:dyDescent="0.35">
      <c r="A332" t="s">
        <v>9</v>
      </c>
      <c r="B332" t="s">
        <v>354</v>
      </c>
      <c r="C332" t="s">
        <v>25</v>
      </c>
      <c r="D332" t="s">
        <v>26</v>
      </c>
      <c r="E332" t="s">
        <v>13</v>
      </c>
      <c r="F332" t="s">
        <v>33</v>
      </c>
      <c r="G332" s="1">
        <v>6408</v>
      </c>
      <c r="H332">
        <v>7</v>
      </c>
      <c r="I332" s="1">
        <f>supermarket_sales_new[[#This Row],[Unit price]]*supermarket_sales_new[[#This Row],[Quantity]]*5%</f>
        <v>2242.8000000000002</v>
      </c>
      <c r="J332" s="1">
        <f>(supermarket_sales_new[[#This Row],[Unit price]]*supermarket_sales_new[[#This Row],[Quantity]])+supermarket_sales_new[[#This Row],[Tax 5%]]</f>
        <v>47098.8</v>
      </c>
    </row>
    <row r="333" spans="1:10" x14ac:dyDescent="0.35">
      <c r="A333" t="s">
        <v>9</v>
      </c>
      <c r="B333" t="s">
        <v>355</v>
      </c>
      <c r="C333" t="s">
        <v>11</v>
      </c>
      <c r="D333" t="s">
        <v>12</v>
      </c>
      <c r="E333" t="s">
        <v>13</v>
      </c>
      <c r="F333" t="s">
        <v>27</v>
      </c>
      <c r="G333" s="1">
        <v>7347</v>
      </c>
      <c r="H333">
        <v>4</v>
      </c>
      <c r="I333" s="1">
        <f>supermarket_sales_new[[#This Row],[Unit price]]*supermarket_sales_new[[#This Row],[Quantity]]*5%</f>
        <v>1469.4</v>
      </c>
      <c r="J333" s="1">
        <f>(supermarket_sales_new[[#This Row],[Unit price]]*supermarket_sales_new[[#This Row],[Quantity]])+supermarket_sales_new[[#This Row],[Tax 5%]]</f>
        <v>30857.4</v>
      </c>
    </row>
    <row r="334" spans="1:10" x14ac:dyDescent="0.35">
      <c r="A334" t="s">
        <v>9</v>
      </c>
      <c r="B334" t="s">
        <v>356</v>
      </c>
      <c r="C334" t="s">
        <v>25</v>
      </c>
      <c r="D334" t="s">
        <v>26</v>
      </c>
      <c r="E334" t="s">
        <v>13</v>
      </c>
      <c r="F334" t="s">
        <v>19</v>
      </c>
      <c r="G334" s="1">
        <v>3948</v>
      </c>
      <c r="H334">
        <v>1</v>
      </c>
      <c r="I334" s="1">
        <f>supermarket_sales_new[[#This Row],[Unit price]]*supermarket_sales_new[[#This Row],[Quantity]]*5%</f>
        <v>197.4</v>
      </c>
      <c r="J334" s="1">
        <f>(supermarket_sales_new[[#This Row],[Unit price]]*supermarket_sales_new[[#This Row],[Quantity]])+supermarket_sales_new[[#This Row],[Tax 5%]]</f>
        <v>4145.3999999999996</v>
      </c>
    </row>
    <row r="335" spans="1:10" x14ac:dyDescent="0.35">
      <c r="A335" t="s">
        <v>9</v>
      </c>
      <c r="B335" t="s">
        <v>357</v>
      </c>
      <c r="C335" t="s">
        <v>25</v>
      </c>
      <c r="D335" t="s">
        <v>26</v>
      </c>
      <c r="E335" t="s">
        <v>18</v>
      </c>
      <c r="F335" t="s">
        <v>33</v>
      </c>
      <c r="G335" s="1">
        <v>3481</v>
      </c>
      <c r="H335">
        <v>1</v>
      </c>
      <c r="I335" s="1">
        <f>supermarket_sales_new[[#This Row],[Unit price]]*supermarket_sales_new[[#This Row],[Quantity]]*5%</f>
        <v>174.05</v>
      </c>
      <c r="J335" s="1">
        <f>(supermarket_sales_new[[#This Row],[Unit price]]*supermarket_sales_new[[#This Row],[Quantity]])+supermarket_sales_new[[#This Row],[Tax 5%]]</f>
        <v>3655.05</v>
      </c>
    </row>
    <row r="336" spans="1:10" x14ac:dyDescent="0.35">
      <c r="A336" t="s">
        <v>9</v>
      </c>
      <c r="B336" t="s">
        <v>358</v>
      </c>
      <c r="C336" t="s">
        <v>16</v>
      </c>
      <c r="D336" t="s">
        <v>17</v>
      </c>
      <c r="E336" t="s">
        <v>18</v>
      </c>
      <c r="F336" t="s">
        <v>29</v>
      </c>
      <c r="G336" s="1">
        <v>4932</v>
      </c>
      <c r="H336">
        <v>6</v>
      </c>
      <c r="I336" s="1">
        <f>supermarket_sales_new[[#This Row],[Unit price]]*supermarket_sales_new[[#This Row],[Quantity]]*5%</f>
        <v>1479.6000000000001</v>
      </c>
      <c r="J336" s="1">
        <f>(supermarket_sales_new[[#This Row],[Unit price]]*supermarket_sales_new[[#This Row],[Quantity]])+supermarket_sales_new[[#This Row],[Tax 5%]]</f>
        <v>31071.599999999999</v>
      </c>
    </row>
    <row r="337" spans="1:10" x14ac:dyDescent="0.35">
      <c r="A337" t="s">
        <v>9</v>
      </c>
      <c r="B337" t="s">
        <v>359</v>
      </c>
      <c r="C337" t="s">
        <v>25</v>
      </c>
      <c r="D337" t="s">
        <v>26</v>
      </c>
      <c r="E337" t="s">
        <v>13</v>
      </c>
      <c r="F337" t="s">
        <v>33</v>
      </c>
      <c r="G337" s="1">
        <v>2308</v>
      </c>
      <c r="H337">
        <v>6</v>
      </c>
      <c r="I337" s="1">
        <f>supermarket_sales_new[[#This Row],[Unit price]]*supermarket_sales_new[[#This Row],[Quantity]]*5%</f>
        <v>692.40000000000009</v>
      </c>
      <c r="J337" s="1">
        <f>(supermarket_sales_new[[#This Row],[Unit price]]*supermarket_sales_new[[#This Row],[Quantity]])+supermarket_sales_new[[#This Row],[Tax 5%]]</f>
        <v>14540.4</v>
      </c>
    </row>
    <row r="338" spans="1:10" x14ac:dyDescent="0.35">
      <c r="A338" t="s">
        <v>9</v>
      </c>
      <c r="B338" t="s">
        <v>360</v>
      </c>
      <c r="C338" t="s">
        <v>25</v>
      </c>
      <c r="D338" t="s">
        <v>26</v>
      </c>
      <c r="E338" t="s">
        <v>13</v>
      </c>
      <c r="F338" t="s">
        <v>22</v>
      </c>
      <c r="G338" s="1">
        <v>491</v>
      </c>
      <c r="H338">
        <v>2</v>
      </c>
      <c r="I338" s="1">
        <f>supermarket_sales_new[[#This Row],[Unit price]]*supermarket_sales_new[[#This Row],[Quantity]]*5%</f>
        <v>49.1</v>
      </c>
      <c r="J338" s="1">
        <f>(supermarket_sales_new[[#This Row],[Unit price]]*supermarket_sales_new[[#This Row],[Quantity]])+supermarket_sales_new[[#This Row],[Tax 5%]]</f>
        <v>1031.0999999999999</v>
      </c>
    </row>
    <row r="339" spans="1:10" x14ac:dyDescent="0.35">
      <c r="A339" t="s">
        <v>9</v>
      </c>
      <c r="B339" t="s">
        <v>361</v>
      </c>
      <c r="C339" t="s">
        <v>25</v>
      </c>
      <c r="D339" t="s">
        <v>26</v>
      </c>
      <c r="E339" t="s">
        <v>13</v>
      </c>
      <c r="F339" t="s">
        <v>33</v>
      </c>
      <c r="G339" s="1">
        <v>6483</v>
      </c>
      <c r="H339">
        <v>2</v>
      </c>
      <c r="I339" s="1">
        <f>supermarket_sales_new[[#This Row],[Unit price]]*supermarket_sales_new[[#This Row],[Quantity]]*5%</f>
        <v>648.30000000000007</v>
      </c>
      <c r="J339" s="1">
        <f>(supermarket_sales_new[[#This Row],[Unit price]]*supermarket_sales_new[[#This Row],[Quantity]])+supermarket_sales_new[[#This Row],[Tax 5%]]</f>
        <v>13614.3</v>
      </c>
    </row>
    <row r="340" spans="1:10" x14ac:dyDescent="0.35">
      <c r="A340" t="s">
        <v>9</v>
      </c>
      <c r="B340" t="s">
        <v>362</v>
      </c>
      <c r="C340" t="s">
        <v>11</v>
      </c>
      <c r="D340" t="s">
        <v>12</v>
      </c>
      <c r="E340" t="s">
        <v>18</v>
      </c>
      <c r="F340" t="s">
        <v>27</v>
      </c>
      <c r="G340" s="1">
        <v>671</v>
      </c>
      <c r="H340">
        <v>3</v>
      </c>
      <c r="I340" s="1">
        <f>supermarket_sales_new[[#This Row],[Unit price]]*supermarket_sales_new[[#This Row],[Quantity]]*5%</f>
        <v>100.65</v>
      </c>
      <c r="J340" s="1">
        <f>(supermarket_sales_new[[#This Row],[Unit price]]*supermarket_sales_new[[#This Row],[Quantity]])+supermarket_sales_new[[#This Row],[Tax 5%]]</f>
        <v>2113.65</v>
      </c>
    </row>
    <row r="341" spans="1:10" x14ac:dyDescent="0.35">
      <c r="A341" t="s">
        <v>9</v>
      </c>
      <c r="B341" t="s">
        <v>363</v>
      </c>
      <c r="C341" t="s">
        <v>16</v>
      </c>
      <c r="D341" t="s">
        <v>17</v>
      </c>
      <c r="E341" t="s">
        <v>13</v>
      </c>
      <c r="F341" t="s">
        <v>33</v>
      </c>
      <c r="G341" s="1">
        <v>7019</v>
      </c>
      <c r="H341">
        <v>9</v>
      </c>
      <c r="I341" s="1">
        <f>supermarket_sales_new[[#This Row],[Unit price]]*supermarket_sales_new[[#This Row],[Quantity]]*5%</f>
        <v>3158.55</v>
      </c>
      <c r="J341" s="1">
        <f>(supermarket_sales_new[[#This Row],[Unit price]]*supermarket_sales_new[[#This Row],[Quantity]])+supermarket_sales_new[[#This Row],[Tax 5%]]</f>
        <v>66329.55</v>
      </c>
    </row>
    <row r="342" spans="1:10" x14ac:dyDescent="0.35">
      <c r="A342" t="s">
        <v>9</v>
      </c>
      <c r="B342" t="s">
        <v>364</v>
      </c>
      <c r="C342" t="s">
        <v>16</v>
      </c>
      <c r="D342" t="s">
        <v>17</v>
      </c>
      <c r="E342" t="s">
        <v>13</v>
      </c>
      <c r="F342" t="s">
        <v>29</v>
      </c>
      <c r="G342" s="1">
        <v>7338</v>
      </c>
      <c r="H342">
        <v>7</v>
      </c>
      <c r="I342" s="1">
        <f>supermarket_sales_new[[#This Row],[Unit price]]*supermarket_sales_new[[#This Row],[Quantity]]*5%</f>
        <v>2568.3000000000002</v>
      </c>
      <c r="J342" s="1">
        <f>(supermarket_sales_new[[#This Row],[Unit price]]*supermarket_sales_new[[#This Row],[Quantity]])+supermarket_sales_new[[#This Row],[Tax 5%]]</f>
        <v>53934.3</v>
      </c>
    </row>
    <row r="343" spans="1:10" x14ac:dyDescent="0.35">
      <c r="A343" t="s">
        <v>9</v>
      </c>
      <c r="B343" t="s">
        <v>365</v>
      </c>
      <c r="C343" t="s">
        <v>16</v>
      </c>
      <c r="D343" t="s">
        <v>17</v>
      </c>
      <c r="E343" t="s">
        <v>18</v>
      </c>
      <c r="F343" t="s">
        <v>27</v>
      </c>
      <c r="G343" s="1">
        <v>526</v>
      </c>
      <c r="H343">
        <v>9</v>
      </c>
      <c r="I343" s="1">
        <f>supermarket_sales_new[[#This Row],[Unit price]]*supermarket_sales_new[[#This Row],[Quantity]]*5%</f>
        <v>236.70000000000002</v>
      </c>
      <c r="J343" s="1">
        <f>(supermarket_sales_new[[#This Row],[Unit price]]*supermarket_sales_new[[#This Row],[Quantity]])+supermarket_sales_new[[#This Row],[Tax 5%]]</f>
        <v>4970.7</v>
      </c>
    </row>
    <row r="344" spans="1:10" x14ac:dyDescent="0.35">
      <c r="A344" t="s">
        <v>9</v>
      </c>
      <c r="B344" t="s">
        <v>366</v>
      </c>
      <c r="C344" t="s">
        <v>11</v>
      </c>
      <c r="D344" t="s">
        <v>12</v>
      </c>
      <c r="E344" t="s">
        <v>13</v>
      </c>
      <c r="F344" t="s">
        <v>22</v>
      </c>
      <c r="G344" s="1">
        <v>8737</v>
      </c>
      <c r="H344">
        <v>5</v>
      </c>
      <c r="I344" s="1">
        <f>supermarket_sales_new[[#This Row],[Unit price]]*supermarket_sales_new[[#This Row],[Quantity]]*5%</f>
        <v>2184.25</v>
      </c>
      <c r="J344" s="1">
        <f>(supermarket_sales_new[[#This Row],[Unit price]]*supermarket_sales_new[[#This Row],[Quantity]])+supermarket_sales_new[[#This Row],[Tax 5%]]</f>
        <v>45869.25</v>
      </c>
    </row>
    <row r="345" spans="1:10" x14ac:dyDescent="0.35">
      <c r="A345" t="s">
        <v>9</v>
      </c>
      <c r="B345" t="s">
        <v>367</v>
      </c>
      <c r="C345" t="s">
        <v>11</v>
      </c>
      <c r="D345" t="s">
        <v>12</v>
      </c>
      <c r="E345" t="s">
        <v>13</v>
      </c>
      <c r="F345" t="s">
        <v>33</v>
      </c>
      <c r="G345" s="1">
        <v>2704</v>
      </c>
      <c r="H345">
        <v>4</v>
      </c>
      <c r="I345" s="1">
        <f>supermarket_sales_new[[#This Row],[Unit price]]*supermarket_sales_new[[#This Row],[Quantity]]*5%</f>
        <v>540.80000000000007</v>
      </c>
      <c r="J345" s="1">
        <f>(supermarket_sales_new[[#This Row],[Unit price]]*supermarket_sales_new[[#This Row],[Quantity]])+supermarket_sales_new[[#This Row],[Tax 5%]]</f>
        <v>11356.8</v>
      </c>
    </row>
    <row r="346" spans="1:10" x14ac:dyDescent="0.35">
      <c r="A346" t="s">
        <v>9</v>
      </c>
      <c r="B346" t="s">
        <v>368</v>
      </c>
      <c r="C346" t="s">
        <v>16</v>
      </c>
      <c r="D346" t="s">
        <v>17</v>
      </c>
      <c r="E346" t="s">
        <v>18</v>
      </c>
      <c r="F346" t="s">
        <v>29</v>
      </c>
      <c r="G346" s="1">
        <v>6041</v>
      </c>
      <c r="H346">
        <v>8</v>
      </c>
      <c r="I346" s="1">
        <f>supermarket_sales_new[[#This Row],[Unit price]]*supermarket_sales_new[[#This Row],[Quantity]]*5%</f>
        <v>2416.4</v>
      </c>
      <c r="J346" s="1">
        <f>(supermarket_sales_new[[#This Row],[Unit price]]*supermarket_sales_new[[#This Row],[Quantity]])+supermarket_sales_new[[#This Row],[Tax 5%]]</f>
        <v>50744.4</v>
      </c>
    </row>
    <row r="347" spans="1:10" x14ac:dyDescent="0.35">
      <c r="A347" t="s">
        <v>9</v>
      </c>
      <c r="B347" t="s">
        <v>369</v>
      </c>
      <c r="C347" t="s">
        <v>25</v>
      </c>
      <c r="D347" t="s">
        <v>26</v>
      </c>
      <c r="E347" t="s">
        <v>13</v>
      </c>
      <c r="F347" t="s">
        <v>29</v>
      </c>
      <c r="G347" s="1">
        <v>1977</v>
      </c>
      <c r="H347">
        <v>10</v>
      </c>
      <c r="I347" s="1">
        <f>supermarket_sales_new[[#This Row],[Unit price]]*supermarket_sales_new[[#This Row],[Quantity]]*5%</f>
        <v>988.5</v>
      </c>
      <c r="J347" s="1">
        <f>(supermarket_sales_new[[#This Row],[Unit price]]*supermarket_sales_new[[#This Row],[Quantity]])+supermarket_sales_new[[#This Row],[Tax 5%]]</f>
        <v>20758.5</v>
      </c>
    </row>
    <row r="348" spans="1:10" x14ac:dyDescent="0.35">
      <c r="A348" t="s">
        <v>9</v>
      </c>
      <c r="B348" t="s">
        <v>370</v>
      </c>
      <c r="C348" t="s">
        <v>25</v>
      </c>
      <c r="D348" t="s">
        <v>26</v>
      </c>
      <c r="E348" t="s">
        <v>13</v>
      </c>
      <c r="F348" t="s">
        <v>22</v>
      </c>
      <c r="G348" s="1">
        <v>8839</v>
      </c>
      <c r="H348">
        <v>9</v>
      </c>
      <c r="I348" s="1">
        <f>supermarket_sales_new[[#This Row],[Unit price]]*supermarket_sales_new[[#This Row],[Quantity]]*5%</f>
        <v>3977.55</v>
      </c>
      <c r="J348" s="1">
        <f>(supermarket_sales_new[[#This Row],[Unit price]]*supermarket_sales_new[[#This Row],[Quantity]])+supermarket_sales_new[[#This Row],[Tax 5%]]</f>
        <v>83528.55</v>
      </c>
    </row>
    <row r="349" spans="1:10" x14ac:dyDescent="0.35">
      <c r="A349" t="s">
        <v>9</v>
      </c>
      <c r="B349" t="s">
        <v>371</v>
      </c>
      <c r="C349" t="s">
        <v>25</v>
      </c>
      <c r="D349" t="s">
        <v>26</v>
      </c>
      <c r="E349" t="s">
        <v>18</v>
      </c>
      <c r="F349" t="s">
        <v>19</v>
      </c>
      <c r="G349" s="1">
        <v>43</v>
      </c>
      <c r="H349">
        <v>4</v>
      </c>
      <c r="I349" s="1">
        <f>supermarket_sales_new[[#This Row],[Unit price]]*supermarket_sales_new[[#This Row],[Quantity]]*5%</f>
        <v>8.6</v>
      </c>
      <c r="J349" s="1">
        <f>(supermarket_sales_new[[#This Row],[Unit price]]*supermarket_sales_new[[#This Row],[Quantity]])+supermarket_sales_new[[#This Row],[Tax 5%]]</f>
        <v>180.6</v>
      </c>
    </row>
    <row r="350" spans="1:10" x14ac:dyDescent="0.35">
      <c r="A350" t="s">
        <v>9</v>
      </c>
      <c r="B350" t="s">
        <v>372</v>
      </c>
      <c r="C350" t="s">
        <v>16</v>
      </c>
      <c r="D350" t="s">
        <v>17</v>
      </c>
      <c r="E350" t="s">
        <v>13</v>
      </c>
      <c r="F350" t="s">
        <v>22</v>
      </c>
      <c r="G350" s="1">
        <v>7553</v>
      </c>
      <c r="H350">
        <v>4</v>
      </c>
      <c r="I350" s="1">
        <f>supermarket_sales_new[[#This Row],[Unit price]]*supermarket_sales_new[[#This Row],[Quantity]]*5%</f>
        <v>1510.6000000000001</v>
      </c>
      <c r="J350" s="1">
        <f>(supermarket_sales_new[[#This Row],[Unit price]]*supermarket_sales_new[[#This Row],[Quantity]])+supermarket_sales_new[[#This Row],[Tax 5%]]</f>
        <v>31722.6</v>
      </c>
    </row>
    <row r="351" spans="1:10" x14ac:dyDescent="0.35">
      <c r="A351" t="s">
        <v>9</v>
      </c>
      <c r="B351" t="s">
        <v>373</v>
      </c>
      <c r="C351" t="s">
        <v>16</v>
      </c>
      <c r="D351" t="s">
        <v>17</v>
      </c>
      <c r="E351" t="s">
        <v>18</v>
      </c>
      <c r="F351" t="s">
        <v>19</v>
      </c>
      <c r="G351" s="1">
        <v>7763</v>
      </c>
      <c r="H351">
        <v>9</v>
      </c>
      <c r="I351" s="1">
        <f>supermarket_sales_new[[#This Row],[Unit price]]*supermarket_sales_new[[#This Row],[Quantity]]*5%</f>
        <v>3493.3500000000004</v>
      </c>
      <c r="J351" s="1">
        <f>(supermarket_sales_new[[#This Row],[Unit price]]*supermarket_sales_new[[#This Row],[Quantity]])+supermarket_sales_new[[#This Row],[Tax 5%]]</f>
        <v>73360.350000000006</v>
      </c>
    </row>
    <row r="352" spans="1:10" x14ac:dyDescent="0.35">
      <c r="A352" t="s">
        <v>9</v>
      </c>
      <c r="B352" t="s">
        <v>374</v>
      </c>
      <c r="C352" t="s">
        <v>16</v>
      </c>
      <c r="D352" t="s">
        <v>17</v>
      </c>
      <c r="E352" t="s">
        <v>18</v>
      </c>
      <c r="F352" t="s">
        <v>14</v>
      </c>
      <c r="G352" s="1">
        <v>1385</v>
      </c>
      <c r="H352">
        <v>9</v>
      </c>
      <c r="I352" s="1">
        <f>supermarket_sales_new[[#This Row],[Unit price]]*supermarket_sales_new[[#This Row],[Quantity]]*5%</f>
        <v>623.25</v>
      </c>
      <c r="J352" s="1">
        <f>(supermarket_sales_new[[#This Row],[Unit price]]*supermarket_sales_new[[#This Row],[Quantity]])+supermarket_sales_new[[#This Row],[Tax 5%]]</f>
        <v>13088.25</v>
      </c>
    </row>
    <row r="353" spans="1:10" x14ac:dyDescent="0.35">
      <c r="A353" t="s">
        <v>9</v>
      </c>
      <c r="B353" t="s">
        <v>375</v>
      </c>
      <c r="C353" t="s">
        <v>11</v>
      </c>
      <c r="D353" t="s">
        <v>12</v>
      </c>
      <c r="E353" t="s">
        <v>18</v>
      </c>
      <c r="F353" t="s">
        <v>14</v>
      </c>
      <c r="G353" s="1">
        <v>3568</v>
      </c>
      <c r="H353">
        <v>5</v>
      </c>
      <c r="I353" s="1">
        <f>supermarket_sales_new[[#This Row],[Unit price]]*supermarket_sales_new[[#This Row],[Quantity]]*5%</f>
        <v>892</v>
      </c>
      <c r="J353" s="1">
        <f>(supermarket_sales_new[[#This Row],[Unit price]]*supermarket_sales_new[[#This Row],[Quantity]])+supermarket_sales_new[[#This Row],[Tax 5%]]</f>
        <v>18732</v>
      </c>
    </row>
    <row r="354" spans="1:10" x14ac:dyDescent="0.35">
      <c r="A354" t="s">
        <v>9</v>
      </c>
      <c r="B354" t="s">
        <v>376</v>
      </c>
      <c r="C354" t="s">
        <v>11</v>
      </c>
      <c r="D354" t="s">
        <v>12</v>
      </c>
      <c r="E354" t="s">
        <v>13</v>
      </c>
      <c r="F354" t="s">
        <v>29</v>
      </c>
      <c r="G354" s="1">
        <v>7146</v>
      </c>
      <c r="H354">
        <v>7</v>
      </c>
      <c r="I354" s="1">
        <f>supermarket_sales_new[[#This Row],[Unit price]]*supermarket_sales_new[[#This Row],[Quantity]]*5%</f>
        <v>2501.1000000000004</v>
      </c>
      <c r="J354" s="1">
        <f>(supermarket_sales_new[[#This Row],[Unit price]]*supermarket_sales_new[[#This Row],[Quantity]])+supermarket_sales_new[[#This Row],[Tax 5%]]</f>
        <v>52523.1</v>
      </c>
    </row>
    <row r="355" spans="1:10" x14ac:dyDescent="0.35">
      <c r="A355" t="s">
        <v>9</v>
      </c>
      <c r="B355" t="s">
        <v>377</v>
      </c>
      <c r="C355" t="s">
        <v>25</v>
      </c>
      <c r="D355" t="s">
        <v>26</v>
      </c>
      <c r="E355" t="s">
        <v>13</v>
      </c>
      <c r="F355" t="s">
        <v>29</v>
      </c>
      <c r="G355" s="1">
        <v>1748</v>
      </c>
      <c r="H355">
        <v>6</v>
      </c>
      <c r="I355" s="1">
        <f>supermarket_sales_new[[#This Row],[Unit price]]*supermarket_sales_new[[#This Row],[Quantity]]*5%</f>
        <v>524.4</v>
      </c>
      <c r="J355" s="1">
        <f>(supermarket_sales_new[[#This Row],[Unit price]]*supermarket_sales_new[[#This Row],[Quantity]])+supermarket_sales_new[[#This Row],[Tax 5%]]</f>
        <v>11012.4</v>
      </c>
    </row>
    <row r="356" spans="1:10" x14ac:dyDescent="0.35">
      <c r="A356" t="s">
        <v>9</v>
      </c>
      <c r="B356" t="s">
        <v>378</v>
      </c>
      <c r="C356" t="s">
        <v>25</v>
      </c>
      <c r="D356" t="s">
        <v>26</v>
      </c>
      <c r="E356" t="s">
        <v>18</v>
      </c>
      <c r="F356" t="s">
        <v>29</v>
      </c>
      <c r="G356" s="1">
        <v>2556</v>
      </c>
      <c r="H356">
        <v>7</v>
      </c>
      <c r="I356" s="1">
        <f>supermarket_sales_new[[#This Row],[Unit price]]*supermarket_sales_new[[#This Row],[Quantity]]*5%</f>
        <v>894.6</v>
      </c>
      <c r="J356" s="1">
        <f>(supermarket_sales_new[[#This Row],[Unit price]]*supermarket_sales_new[[#This Row],[Quantity]])+supermarket_sales_new[[#This Row],[Tax 5%]]</f>
        <v>18786.599999999999</v>
      </c>
    </row>
    <row r="357" spans="1:10" x14ac:dyDescent="0.35">
      <c r="A357" t="s">
        <v>9</v>
      </c>
      <c r="B357" t="s">
        <v>379</v>
      </c>
      <c r="C357" t="s">
        <v>16</v>
      </c>
      <c r="D357" t="s">
        <v>17</v>
      </c>
      <c r="E357" t="s">
        <v>13</v>
      </c>
      <c r="F357" t="s">
        <v>33</v>
      </c>
      <c r="G357" s="1">
        <v>9063</v>
      </c>
      <c r="H357">
        <v>9</v>
      </c>
      <c r="I357" s="1">
        <f>supermarket_sales_new[[#This Row],[Unit price]]*supermarket_sales_new[[#This Row],[Quantity]]*5%</f>
        <v>4078.3500000000004</v>
      </c>
      <c r="J357" s="1">
        <f>(supermarket_sales_new[[#This Row],[Unit price]]*supermarket_sales_new[[#This Row],[Quantity]])+supermarket_sales_new[[#This Row],[Tax 5%]]</f>
        <v>85645.35</v>
      </c>
    </row>
    <row r="358" spans="1:10" x14ac:dyDescent="0.35">
      <c r="A358" t="s">
        <v>9</v>
      </c>
      <c r="B358" t="s">
        <v>380</v>
      </c>
      <c r="C358" t="s">
        <v>16</v>
      </c>
      <c r="D358" t="s">
        <v>17</v>
      </c>
      <c r="E358" t="s">
        <v>13</v>
      </c>
      <c r="F358" t="s">
        <v>27</v>
      </c>
      <c r="G358" s="1">
        <v>3677</v>
      </c>
      <c r="H358">
        <v>7</v>
      </c>
      <c r="I358" s="1">
        <f>supermarket_sales_new[[#This Row],[Unit price]]*supermarket_sales_new[[#This Row],[Quantity]]*5%</f>
        <v>1286.95</v>
      </c>
      <c r="J358" s="1">
        <f>(supermarket_sales_new[[#This Row],[Unit price]]*supermarket_sales_new[[#This Row],[Quantity]])+supermarket_sales_new[[#This Row],[Tax 5%]]</f>
        <v>27025.95</v>
      </c>
    </row>
    <row r="359" spans="1:10" x14ac:dyDescent="0.35">
      <c r="A359" t="s">
        <v>9</v>
      </c>
      <c r="B359" t="s">
        <v>381</v>
      </c>
      <c r="C359" t="s">
        <v>16</v>
      </c>
      <c r="D359" t="s">
        <v>17</v>
      </c>
      <c r="E359" t="s">
        <v>13</v>
      </c>
      <c r="F359" t="s">
        <v>14</v>
      </c>
      <c r="G359" s="1">
        <v>285</v>
      </c>
      <c r="H359">
        <v>8</v>
      </c>
      <c r="I359" s="1">
        <f>supermarket_sales_new[[#This Row],[Unit price]]*supermarket_sales_new[[#This Row],[Quantity]]*5%</f>
        <v>114</v>
      </c>
      <c r="J359" s="1">
        <f>(supermarket_sales_new[[#This Row],[Unit price]]*supermarket_sales_new[[#This Row],[Quantity]])+supermarket_sales_new[[#This Row],[Tax 5%]]</f>
        <v>2394</v>
      </c>
    </row>
    <row r="360" spans="1:10" x14ac:dyDescent="0.35">
      <c r="A360" t="s">
        <v>9</v>
      </c>
      <c r="B360" t="s">
        <v>382</v>
      </c>
      <c r="C360" t="s">
        <v>25</v>
      </c>
      <c r="D360" t="s">
        <v>26</v>
      </c>
      <c r="E360" t="s">
        <v>13</v>
      </c>
      <c r="F360" t="s">
        <v>22</v>
      </c>
      <c r="G360" s="1">
        <v>5218</v>
      </c>
      <c r="H360">
        <v>7</v>
      </c>
      <c r="I360" s="1">
        <f>supermarket_sales_new[[#This Row],[Unit price]]*supermarket_sales_new[[#This Row],[Quantity]]*5%</f>
        <v>1826.3000000000002</v>
      </c>
      <c r="J360" s="1">
        <f>(supermarket_sales_new[[#This Row],[Unit price]]*supermarket_sales_new[[#This Row],[Quantity]])+supermarket_sales_new[[#This Row],[Tax 5%]]</f>
        <v>38352.300000000003</v>
      </c>
    </row>
    <row r="361" spans="1:10" x14ac:dyDescent="0.35">
      <c r="A361" t="s">
        <v>9</v>
      </c>
      <c r="B361" t="s">
        <v>383</v>
      </c>
      <c r="C361" t="s">
        <v>11</v>
      </c>
      <c r="D361" t="s">
        <v>12</v>
      </c>
      <c r="E361" t="s">
        <v>13</v>
      </c>
      <c r="F361" t="s">
        <v>29</v>
      </c>
      <c r="G361" s="1">
        <v>2232</v>
      </c>
      <c r="H361">
        <v>4</v>
      </c>
      <c r="I361" s="1">
        <f>supermarket_sales_new[[#This Row],[Unit price]]*supermarket_sales_new[[#This Row],[Quantity]]*5%</f>
        <v>446.40000000000003</v>
      </c>
      <c r="J361" s="1">
        <f>(supermarket_sales_new[[#This Row],[Unit price]]*supermarket_sales_new[[#This Row],[Quantity]])+supermarket_sales_new[[#This Row],[Tax 5%]]</f>
        <v>9374.4</v>
      </c>
    </row>
    <row r="362" spans="1:10" x14ac:dyDescent="0.35">
      <c r="A362" t="s">
        <v>9</v>
      </c>
      <c r="B362" t="s">
        <v>384</v>
      </c>
      <c r="C362" t="s">
        <v>16</v>
      </c>
      <c r="D362" t="s">
        <v>17</v>
      </c>
      <c r="E362" t="s">
        <v>13</v>
      </c>
      <c r="F362" t="s">
        <v>22</v>
      </c>
      <c r="G362" s="1">
        <v>812</v>
      </c>
      <c r="H362">
        <v>7</v>
      </c>
      <c r="I362" s="1">
        <f>supermarket_sales_new[[#This Row],[Unit price]]*supermarket_sales_new[[#This Row],[Quantity]]*5%</f>
        <v>284.2</v>
      </c>
      <c r="J362" s="1">
        <f>(supermarket_sales_new[[#This Row],[Unit price]]*supermarket_sales_new[[#This Row],[Quantity]])+supermarket_sales_new[[#This Row],[Tax 5%]]</f>
        <v>5968.2</v>
      </c>
    </row>
    <row r="363" spans="1:10" x14ac:dyDescent="0.35">
      <c r="A363" t="s">
        <v>9</v>
      </c>
      <c r="B363" t="s">
        <v>385</v>
      </c>
      <c r="C363" t="s">
        <v>11</v>
      </c>
      <c r="D363" t="s">
        <v>12</v>
      </c>
      <c r="E363" t="s">
        <v>13</v>
      </c>
      <c r="F363" t="s">
        <v>33</v>
      </c>
      <c r="G363" s="1">
        <v>7163</v>
      </c>
      <c r="H363">
        <v>2</v>
      </c>
      <c r="I363" s="1">
        <f>supermarket_sales_new[[#This Row],[Unit price]]*supermarket_sales_new[[#This Row],[Quantity]]*5%</f>
        <v>716.30000000000007</v>
      </c>
      <c r="J363" s="1">
        <f>(supermarket_sales_new[[#This Row],[Unit price]]*supermarket_sales_new[[#This Row],[Quantity]])+supermarket_sales_new[[#This Row],[Tax 5%]]</f>
        <v>15042.3</v>
      </c>
    </row>
    <row r="364" spans="1:10" x14ac:dyDescent="0.35">
      <c r="A364" t="s">
        <v>9</v>
      </c>
      <c r="B364" t="s">
        <v>386</v>
      </c>
      <c r="C364" t="s">
        <v>16</v>
      </c>
      <c r="D364" t="s">
        <v>17</v>
      </c>
      <c r="E364" t="s">
        <v>13</v>
      </c>
      <c r="F364" t="s">
        <v>33</v>
      </c>
      <c r="G364" s="1">
        <v>3167</v>
      </c>
      <c r="H364">
        <v>8</v>
      </c>
      <c r="I364" s="1">
        <f>supermarket_sales_new[[#This Row],[Unit price]]*supermarket_sales_new[[#This Row],[Quantity]]*5%</f>
        <v>1266.8000000000002</v>
      </c>
      <c r="J364" s="1">
        <f>(supermarket_sales_new[[#This Row],[Unit price]]*supermarket_sales_new[[#This Row],[Quantity]])+supermarket_sales_new[[#This Row],[Tax 5%]]</f>
        <v>26602.799999999999</v>
      </c>
    </row>
    <row r="365" spans="1:10" x14ac:dyDescent="0.35">
      <c r="A365" t="s">
        <v>9</v>
      </c>
      <c r="B365" t="s">
        <v>387</v>
      </c>
      <c r="C365" t="s">
        <v>16</v>
      </c>
      <c r="D365" t="s">
        <v>17</v>
      </c>
      <c r="E365" t="s">
        <v>13</v>
      </c>
      <c r="F365" t="s">
        <v>27</v>
      </c>
      <c r="G365" s="1">
        <v>3842</v>
      </c>
      <c r="H365">
        <v>1</v>
      </c>
      <c r="I365" s="1">
        <f>supermarket_sales_new[[#This Row],[Unit price]]*supermarket_sales_new[[#This Row],[Quantity]]*5%</f>
        <v>192.10000000000002</v>
      </c>
      <c r="J365" s="1">
        <f>(supermarket_sales_new[[#This Row],[Unit price]]*supermarket_sales_new[[#This Row],[Quantity]])+supermarket_sales_new[[#This Row],[Tax 5%]]</f>
        <v>4034.1</v>
      </c>
    </row>
    <row r="366" spans="1:10" x14ac:dyDescent="0.35">
      <c r="A366" t="s">
        <v>9</v>
      </c>
      <c r="B366" t="s">
        <v>388</v>
      </c>
      <c r="C366" t="s">
        <v>16</v>
      </c>
      <c r="D366" t="s">
        <v>17</v>
      </c>
      <c r="E366" t="s">
        <v>13</v>
      </c>
      <c r="F366" t="s">
        <v>22</v>
      </c>
      <c r="G366" s="1">
        <v>1053</v>
      </c>
      <c r="H366">
        <v>5</v>
      </c>
      <c r="I366" s="1">
        <f>supermarket_sales_new[[#This Row],[Unit price]]*supermarket_sales_new[[#This Row],[Quantity]]*5%</f>
        <v>263.25</v>
      </c>
      <c r="J366" s="1">
        <f>(supermarket_sales_new[[#This Row],[Unit price]]*supermarket_sales_new[[#This Row],[Quantity]])+supermarket_sales_new[[#This Row],[Tax 5%]]</f>
        <v>5528.25</v>
      </c>
    </row>
    <row r="367" spans="1:10" x14ac:dyDescent="0.35">
      <c r="A367" t="s">
        <v>9</v>
      </c>
      <c r="B367" t="s">
        <v>389</v>
      </c>
      <c r="C367" t="s">
        <v>25</v>
      </c>
      <c r="D367" t="s">
        <v>26</v>
      </c>
      <c r="E367" t="s">
        <v>13</v>
      </c>
      <c r="F367" t="s">
        <v>22</v>
      </c>
      <c r="G367" s="1">
        <v>1229</v>
      </c>
      <c r="H367">
        <v>9</v>
      </c>
      <c r="I367" s="1">
        <f>supermarket_sales_new[[#This Row],[Unit price]]*supermarket_sales_new[[#This Row],[Quantity]]*5%</f>
        <v>553.05000000000007</v>
      </c>
      <c r="J367" s="1">
        <f>(supermarket_sales_new[[#This Row],[Unit price]]*supermarket_sales_new[[#This Row],[Quantity]])+supermarket_sales_new[[#This Row],[Tax 5%]]</f>
        <v>11614.05</v>
      </c>
    </row>
    <row r="368" spans="1:10" x14ac:dyDescent="0.35">
      <c r="A368" t="s">
        <v>9</v>
      </c>
      <c r="B368" t="s">
        <v>390</v>
      </c>
      <c r="C368" t="s">
        <v>25</v>
      </c>
      <c r="D368" t="s">
        <v>26</v>
      </c>
      <c r="E368" t="s">
        <v>13</v>
      </c>
      <c r="F368" t="s">
        <v>29</v>
      </c>
      <c r="G368" s="1">
        <v>2232</v>
      </c>
      <c r="H368">
        <v>4</v>
      </c>
      <c r="I368" s="1">
        <f>supermarket_sales_new[[#This Row],[Unit price]]*supermarket_sales_new[[#This Row],[Quantity]]*5%</f>
        <v>446.40000000000003</v>
      </c>
      <c r="J368" s="1">
        <f>(supermarket_sales_new[[#This Row],[Unit price]]*supermarket_sales_new[[#This Row],[Quantity]])+supermarket_sales_new[[#This Row],[Tax 5%]]</f>
        <v>9374.4</v>
      </c>
    </row>
    <row r="369" spans="1:10" x14ac:dyDescent="0.35">
      <c r="A369" t="s">
        <v>9</v>
      </c>
      <c r="B369" t="s">
        <v>391</v>
      </c>
      <c r="C369" t="s">
        <v>11</v>
      </c>
      <c r="D369" t="s">
        <v>12</v>
      </c>
      <c r="E369" t="s">
        <v>18</v>
      </c>
      <c r="F369" t="s">
        <v>27</v>
      </c>
      <c r="G369" s="1">
        <v>2728</v>
      </c>
      <c r="H369">
        <v>5</v>
      </c>
      <c r="I369" s="1">
        <f>supermarket_sales_new[[#This Row],[Unit price]]*supermarket_sales_new[[#This Row],[Quantity]]*5%</f>
        <v>682</v>
      </c>
      <c r="J369" s="1">
        <f>(supermarket_sales_new[[#This Row],[Unit price]]*supermarket_sales_new[[#This Row],[Quantity]])+supermarket_sales_new[[#This Row],[Tax 5%]]</f>
        <v>14322</v>
      </c>
    </row>
    <row r="370" spans="1:10" x14ac:dyDescent="0.35">
      <c r="A370" t="s">
        <v>9</v>
      </c>
      <c r="B370" t="s">
        <v>392</v>
      </c>
      <c r="C370" t="s">
        <v>11</v>
      </c>
      <c r="D370" t="s">
        <v>12</v>
      </c>
      <c r="E370" t="s">
        <v>13</v>
      </c>
      <c r="F370" t="s">
        <v>19</v>
      </c>
      <c r="G370" s="1">
        <v>1742</v>
      </c>
      <c r="H370">
        <v>10</v>
      </c>
      <c r="I370" s="1">
        <f>supermarket_sales_new[[#This Row],[Unit price]]*supermarket_sales_new[[#This Row],[Quantity]]*5%</f>
        <v>871</v>
      </c>
      <c r="J370" s="1">
        <f>(supermarket_sales_new[[#This Row],[Unit price]]*supermarket_sales_new[[#This Row],[Quantity]])+supermarket_sales_new[[#This Row],[Tax 5%]]</f>
        <v>18291</v>
      </c>
    </row>
    <row r="371" spans="1:10" x14ac:dyDescent="0.35">
      <c r="A371" t="s">
        <v>9</v>
      </c>
      <c r="B371" t="s">
        <v>393</v>
      </c>
      <c r="C371" t="s">
        <v>16</v>
      </c>
      <c r="D371" t="s">
        <v>17</v>
      </c>
      <c r="E371" t="s">
        <v>13</v>
      </c>
      <c r="F371" t="s">
        <v>29</v>
      </c>
      <c r="G371" s="1">
        <v>8487</v>
      </c>
      <c r="H371">
        <v>3</v>
      </c>
      <c r="I371" s="1">
        <f>supermarket_sales_new[[#This Row],[Unit price]]*supermarket_sales_new[[#This Row],[Quantity]]*5%</f>
        <v>1273.0500000000002</v>
      </c>
      <c r="J371" s="1">
        <f>(supermarket_sales_new[[#This Row],[Unit price]]*supermarket_sales_new[[#This Row],[Quantity]])+supermarket_sales_new[[#This Row],[Tax 5%]]</f>
        <v>26734.05</v>
      </c>
    </row>
    <row r="372" spans="1:10" x14ac:dyDescent="0.35">
      <c r="A372" t="s">
        <v>9</v>
      </c>
      <c r="B372" t="s">
        <v>394</v>
      </c>
      <c r="C372" t="s">
        <v>11</v>
      </c>
      <c r="D372" t="s">
        <v>12</v>
      </c>
      <c r="E372" t="s">
        <v>18</v>
      </c>
      <c r="F372" t="s">
        <v>29</v>
      </c>
      <c r="G372" s="1">
        <v>9729</v>
      </c>
      <c r="H372">
        <v>8</v>
      </c>
      <c r="I372" s="1">
        <f>supermarket_sales_new[[#This Row],[Unit price]]*supermarket_sales_new[[#This Row],[Quantity]]*5%</f>
        <v>3891.6000000000004</v>
      </c>
      <c r="J372" s="1">
        <f>(supermarket_sales_new[[#This Row],[Unit price]]*supermarket_sales_new[[#This Row],[Quantity]])+supermarket_sales_new[[#This Row],[Tax 5%]]</f>
        <v>81723.600000000006</v>
      </c>
    </row>
    <row r="373" spans="1:10" x14ac:dyDescent="0.35">
      <c r="A373" t="s">
        <v>9</v>
      </c>
      <c r="B373" t="s">
        <v>395</v>
      </c>
      <c r="C373" t="s">
        <v>25</v>
      </c>
      <c r="D373" t="s">
        <v>26</v>
      </c>
      <c r="E373" t="s">
        <v>13</v>
      </c>
      <c r="F373" t="s">
        <v>19</v>
      </c>
      <c r="G373" s="1">
        <v>3574</v>
      </c>
      <c r="H373">
        <v>8</v>
      </c>
      <c r="I373" s="1">
        <f>supermarket_sales_new[[#This Row],[Unit price]]*supermarket_sales_new[[#This Row],[Quantity]]*5%</f>
        <v>1429.6000000000001</v>
      </c>
      <c r="J373" s="1">
        <f>(supermarket_sales_new[[#This Row],[Unit price]]*supermarket_sales_new[[#This Row],[Quantity]])+supermarket_sales_new[[#This Row],[Tax 5%]]</f>
        <v>30021.599999999999</v>
      </c>
    </row>
    <row r="374" spans="1:10" x14ac:dyDescent="0.35">
      <c r="A374" t="s">
        <v>9</v>
      </c>
      <c r="B374" t="s">
        <v>396</v>
      </c>
      <c r="C374" t="s">
        <v>11</v>
      </c>
      <c r="D374" t="s">
        <v>12</v>
      </c>
      <c r="E374" t="s">
        <v>18</v>
      </c>
      <c r="F374" t="s">
        <v>22</v>
      </c>
      <c r="G374" s="1">
        <v>9652</v>
      </c>
      <c r="H374">
        <v>6</v>
      </c>
      <c r="I374" s="1">
        <f>supermarket_sales_new[[#This Row],[Unit price]]*supermarket_sales_new[[#This Row],[Quantity]]*5%</f>
        <v>2895.6000000000004</v>
      </c>
      <c r="J374" s="1">
        <f>(supermarket_sales_new[[#This Row],[Unit price]]*supermarket_sales_new[[#This Row],[Quantity]])+supermarket_sales_new[[#This Row],[Tax 5%]]</f>
        <v>60807.6</v>
      </c>
    </row>
    <row r="375" spans="1:10" x14ac:dyDescent="0.35">
      <c r="A375" t="s">
        <v>9</v>
      </c>
      <c r="B375" t="s">
        <v>397</v>
      </c>
      <c r="C375" t="s">
        <v>11</v>
      </c>
      <c r="D375" t="s">
        <v>12</v>
      </c>
      <c r="E375" t="s">
        <v>18</v>
      </c>
      <c r="F375" t="s">
        <v>27</v>
      </c>
      <c r="G375" s="1">
        <v>5539</v>
      </c>
      <c r="H375">
        <v>4</v>
      </c>
      <c r="I375" s="1">
        <f>supermarket_sales_new[[#This Row],[Unit price]]*supermarket_sales_new[[#This Row],[Quantity]]*5%</f>
        <v>1107.8</v>
      </c>
      <c r="J375" s="1">
        <f>(supermarket_sales_new[[#This Row],[Unit price]]*supermarket_sales_new[[#This Row],[Quantity]])+supermarket_sales_new[[#This Row],[Tax 5%]]</f>
        <v>23263.8</v>
      </c>
    </row>
    <row r="376" spans="1:10" x14ac:dyDescent="0.35">
      <c r="A376" t="s">
        <v>9</v>
      </c>
      <c r="B376" t="s">
        <v>398</v>
      </c>
      <c r="C376" t="s">
        <v>25</v>
      </c>
      <c r="D376" t="s">
        <v>26</v>
      </c>
      <c r="E376" t="s">
        <v>13</v>
      </c>
      <c r="F376" t="s">
        <v>27</v>
      </c>
      <c r="G376" s="1">
        <v>772</v>
      </c>
      <c r="H376">
        <v>10</v>
      </c>
      <c r="I376" s="1">
        <f>supermarket_sales_new[[#This Row],[Unit price]]*supermarket_sales_new[[#This Row],[Quantity]]*5%</f>
        <v>386</v>
      </c>
      <c r="J376" s="1">
        <f>(supermarket_sales_new[[#This Row],[Unit price]]*supermarket_sales_new[[#This Row],[Quantity]])+supermarket_sales_new[[#This Row],[Tax 5%]]</f>
        <v>8106</v>
      </c>
    </row>
    <row r="377" spans="1:10" x14ac:dyDescent="0.35">
      <c r="A377" t="s">
        <v>9</v>
      </c>
      <c r="B377" t="s">
        <v>399</v>
      </c>
      <c r="C377" t="s">
        <v>11</v>
      </c>
      <c r="D377" t="s">
        <v>12</v>
      </c>
      <c r="E377" t="s">
        <v>13</v>
      </c>
      <c r="F377" t="s">
        <v>29</v>
      </c>
      <c r="G377" s="1">
        <v>6388</v>
      </c>
      <c r="H377">
        <v>8</v>
      </c>
      <c r="I377" s="1">
        <f>supermarket_sales_new[[#This Row],[Unit price]]*supermarket_sales_new[[#This Row],[Quantity]]*5%</f>
        <v>2555.2000000000003</v>
      </c>
      <c r="J377" s="1">
        <f>(supermarket_sales_new[[#This Row],[Unit price]]*supermarket_sales_new[[#This Row],[Quantity]])+supermarket_sales_new[[#This Row],[Tax 5%]]</f>
        <v>53659.199999999997</v>
      </c>
    </row>
    <row r="378" spans="1:10" x14ac:dyDescent="0.35">
      <c r="A378" t="s">
        <v>9</v>
      </c>
      <c r="B378" t="s">
        <v>400</v>
      </c>
      <c r="C378" t="s">
        <v>11</v>
      </c>
      <c r="D378" t="s">
        <v>12</v>
      </c>
      <c r="E378" t="s">
        <v>13</v>
      </c>
      <c r="F378" t="s">
        <v>14</v>
      </c>
      <c r="G378" s="1">
        <v>1069</v>
      </c>
      <c r="H378">
        <v>5</v>
      </c>
      <c r="I378" s="1">
        <f>supermarket_sales_new[[#This Row],[Unit price]]*supermarket_sales_new[[#This Row],[Quantity]]*5%</f>
        <v>267.25</v>
      </c>
      <c r="J378" s="1">
        <f>(supermarket_sales_new[[#This Row],[Unit price]]*supermarket_sales_new[[#This Row],[Quantity]])+supermarket_sales_new[[#This Row],[Tax 5%]]</f>
        <v>5612.25</v>
      </c>
    </row>
    <row r="379" spans="1:10" x14ac:dyDescent="0.35">
      <c r="A379" t="s">
        <v>9</v>
      </c>
      <c r="B379" t="s">
        <v>401</v>
      </c>
      <c r="C379" t="s">
        <v>25</v>
      </c>
      <c r="D379" t="s">
        <v>26</v>
      </c>
      <c r="E379" t="s">
        <v>18</v>
      </c>
      <c r="F379" t="s">
        <v>22</v>
      </c>
      <c r="G379" s="1">
        <v>9546</v>
      </c>
      <c r="H379">
        <v>8</v>
      </c>
      <c r="I379" s="1">
        <f>supermarket_sales_new[[#This Row],[Unit price]]*supermarket_sales_new[[#This Row],[Quantity]]*5%</f>
        <v>3818.4</v>
      </c>
      <c r="J379" s="1">
        <f>(supermarket_sales_new[[#This Row],[Unit price]]*supermarket_sales_new[[#This Row],[Quantity]])+supermarket_sales_new[[#This Row],[Tax 5%]]</f>
        <v>80186.399999999994</v>
      </c>
    </row>
    <row r="380" spans="1:10" x14ac:dyDescent="0.35">
      <c r="A380" t="s">
        <v>9</v>
      </c>
      <c r="B380" t="s">
        <v>402</v>
      </c>
      <c r="C380" t="s">
        <v>16</v>
      </c>
      <c r="D380" t="s">
        <v>17</v>
      </c>
      <c r="E380" t="s">
        <v>18</v>
      </c>
      <c r="F380" t="s">
        <v>29</v>
      </c>
      <c r="G380" s="1">
        <v>7606</v>
      </c>
      <c r="H380">
        <v>3</v>
      </c>
      <c r="I380" s="1">
        <f>supermarket_sales_new[[#This Row],[Unit price]]*supermarket_sales_new[[#This Row],[Quantity]]*5%</f>
        <v>1140.9000000000001</v>
      </c>
      <c r="J380" s="1">
        <f>(supermarket_sales_new[[#This Row],[Unit price]]*supermarket_sales_new[[#This Row],[Quantity]])+supermarket_sales_new[[#This Row],[Tax 5%]]</f>
        <v>23958.9</v>
      </c>
    </row>
    <row r="381" spans="1:10" x14ac:dyDescent="0.35">
      <c r="A381" t="s">
        <v>9</v>
      </c>
      <c r="B381" t="s">
        <v>403</v>
      </c>
      <c r="C381" t="s">
        <v>25</v>
      </c>
      <c r="D381" t="s">
        <v>26</v>
      </c>
      <c r="E381" t="s">
        <v>18</v>
      </c>
      <c r="F381" t="s">
        <v>19</v>
      </c>
      <c r="G381" s="1">
        <v>9564</v>
      </c>
      <c r="H381">
        <v>4</v>
      </c>
      <c r="I381" s="1">
        <f>supermarket_sales_new[[#This Row],[Unit price]]*supermarket_sales_new[[#This Row],[Quantity]]*5%</f>
        <v>1912.8000000000002</v>
      </c>
      <c r="J381" s="1">
        <f>(supermarket_sales_new[[#This Row],[Unit price]]*supermarket_sales_new[[#This Row],[Quantity]])+supermarket_sales_new[[#This Row],[Tax 5%]]</f>
        <v>40168.800000000003</v>
      </c>
    </row>
    <row r="382" spans="1:10" x14ac:dyDescent="0.35">
      <c r="A382" t="s">
        <v>9</v>
      </c>
      <c r="B382" t="s">
        <v>404</v>
      </c>
      <c r="C382" t="s">
        <v>11</v>
      </c>
      <c r="D382" t="s">
        <v>12</v>
      </c>
      <c r="E382" t="s">
        <v>18</v>
      </c>
      <c r="F382" t="s">
        <v>22</v>
      </c>
      <c r="G382" s="1">
        <v>1143</v>
      </c>
      <c r="H382">
        <v>6</v>
      </c>
      <c r="I382" s="1">
        <f>supermarket_sales_new[[#This Row],[Unit price]]*supermarket_sales_new[[#This Row],[Quantity]]*5%</f>
        <v>342.90000000000003</v>
      </c>
      <c r="J382" s="1">
        <f>(supermarket_sales_new[[#This Row],[Unit price]]*supermarket_sales_new[[#This Row],[Quantity]])+supermarket_sales_new[[#This Row],[Tax 5%]]</f>
        <v>7200.9</v>
      </c>
    </row>
    <row r="383" spans="1:10" x14ac:dyDescent="0.35">
      <c r="A383" t="s">
        <v>9</v>
      </c>
      <c r="B383" t="s">
        <v>405</v>
      </c>
      <c r="C383" t="s">
        <v>25</v>
      </c>
      <c r="D383" t="s">
        <v>26</v>
      </c>
      <c r="E383" t="s">
        <v>13</v>
      </c>
      <c r="F383" t="s">
        <v>33</v>
      </c>
      <c r="G383" s="1">
        <v>9554</v>
      </c>
      <c r="H383">
        <v>4</v>
      </c>
      <c r="I383" s="1">
        <f>supermarket_sales_new[[#This Row],[Unit price]]*supermarket_sales_new[[#This Row],[Quantity]]*5%</f>
        <v>1910.8000000000002</v>
      </c>
      <c r="J383" s="1">
        <f>(supermarket_sales_new[[#This Row],[Unit price]]*supermarket_sales_new[[#This Row],[Quantity]])+supermarket_sales_new[[#This Row],[Tax 5%]]</f>
        <v>40126.800000000003</v>
      </c>
    </row>
    <row r="384" spans="1:10" x14ac:dyDescent="0.35">
      <c r="A384" t="s">
        <v>9</v>
      </c>
      <c r="B384" t="s">
        <v>406</v>
      </c>
      <c r="C384" t="s">
        <v>16</v>
      </c>
      <c r="D384" t="s">
        <v>17</v>
      </c>
      <c r="E384" t="s">
        <v>13</v>
      </c>
      <c r="F384" t="s">
        <v>14</v>
      </c>
      <c r="G384" s="1">
        <v>8587</v>
      </c>
      <c r="H384">
        <v>7</v>
      </c>
      <c r="I384" s="1">
        <f>supermarket_sales_new[[#This Row],[Unit price]]*supermarket_sales_new[[#This Row],[Quantity]]*5%</f>
        <v>3005.4500000000003</v>
      </c>
      <c r="J384" s="1">
        <f>(supermarket_sales_new[[#This Row],[Unit price]]*supermarket_sales_new[[#This Row],[Quantity]])+supermarket_sales_new[[#This Row],[Tax 5%]]</f>
        <v>63114.45</v>
      </c>
    </row>
    <row r="385" spans="1:10" x14ac:dyDescent="0.35">
      <c r="A385" t="s">
        <v>9</v>
      </c>
      <c r="B385" t="s">
        <v>407</v>
      </c>
      <c r="C385" t="s">
        <v>16</v>
      </c>
      <c r="D385" t="s">
        <v>17</v>
      </c>
      <c r="E385" t="s">
        <v>13</v>
      </c>
      <c r="F385" t="s">
        <v>33</v>
      </c>
      <c r="G385" s="1">
        <v>6799</v>
      </c>
      <c r="H385">
        <v>7</v>
      </c>
      <c r="I385" s="1">
        <f>supermarket_sales_new[[#This Row],[Unit price]]*supermarket_sales_new[[#This Row],[Quantity]]*5%</f>
        <v>2379.65</v>
      </c>
      <c r="J385" s="1">
        <f>(supermarket_sales_new[[#This Row],[Unit price]]*supermarket_sales_new[[#This Row],[Quantity]])+supermarket_sales_new[[#This Row],[Tax 5%]]</f>
        <v>49972.65</v>
      </c>
    </row>
    <row r="386" spans="1:10" x14ac:dyDescent="0.35">
      <c r="A386" t="s">
        <v>9</v>
      </c>
      <c r="B386" t="s">
        <v>408</v>
      </c>
      <c r="C386" t="s">
        <v>16</v>
      </c>
      <c r="D386" t="s">
        <v>17</v>
      </c>
      <c r="E386" t="s">
        <v>18</v>
      </c>
      <c r="F386" t="s">
        <v>27</v>
      </c>
      <c r="G386" s="1">
        <v>5242</v>
      </c>
      <c r="H386">
        <v>1</v>
      </c>
      <c r="I386" s="1">
        <f>supermarket_sales_new[[#This Row],[Unit price]]*supermarket_sales_new[[#This Row],[Quantity]]*5%</f>
        <v>262.10000000000002</v>
      </c>
      <c r="J386" s="1">
        <f>(supermarket_sales_new[[#This Row],[Unit price]]*supermarket_sales_new[[#This Row],[Quantity]])+supermarket_sales_new[[#This Row],[Tax 5%]]</f>
        <v>5504.1</v>
      </c>
    </row>
    <row r="387" spans="1:10" x14ac:dyDescent="0.35">
      <c r="A387" t="s">
        <v>9</v>
      </c>
      <c r="B387" t="s">
        <v>409</v>
      </c>
      <c r="C387" t="s">
        <v>25</v>
      </c>
      <c r="D387" t="s">
        <v>26</v>
      </c>
      <c r="E387" t="s">
        <v>18</v>
      </c>
      <c r="F387" t="s">
        <v>27</v>
      </c>
      <c r="G387" s="1">
        <v>2886</v>
      </c>
      <c r="H387">
        <v>5</v>
      </c>
      <c r="I387" s="1">
        <f>supermarket_sales_new[[#This Row],[Unit price]]*supermarket_sales_new[[#This Row],[Quantity]]*5%</f>
        <v>721.5</v>
      </c>
      <c r="J387" s="1">
        <f>(supermarket_sales_new[[#This Row],[Unit price]]*supermarket_sales_new[[#This Row],[Quantity]])+supermarket_sales_new[[#This Row],[Tax 5%]]</f>
        <v>15151.5</v>
      </c>
    </row>
    <row r="388" spans="1:10" x14ac:dyDescent="0.35">
      <c r="A388" t="s">
        <v>9</v>
      </c>
      <c r="B388" t="s">
        <v>410</v>
      </c>
      <c r="C388" t="s">
        <v>11</v>
      </c>
      <c r="D388" t="s">
        <v>12</v>
      </c>
      <c r="E388" t="s">
        <v>18</v>
      </c>
      <c r="F388" t="s">
        <v>33</v>
      </c>
      <c r="G388" s="1">
        <v>9476</v>
      </c>
      <c r="H388">
        <v>4</v>
      </c>
      <c r="I388" s="1">
        <f>supermarket_sales_new[[#This Row],[Unit price]]*supermarket_sales_new[[#This Row],[Quantity]]*5%</f>
        <v>1895.2</v>
      </c>
      <c r="J388" s="1">
        <f>(supermarket_sales_new[[#This Row],[Unit price]]*supermarket_sales_new[[#This Row],[Quantity]])+supermarket_sales_new[[#This Row],[Tax 5%]]</f>
        <v>39799.199999999997</v>
      </c>
    </row>
    <row r="389" spans="1:10" x14ac:dyDescent="0.35">
      <c r="A389" t="s">
        <v>9</v>
      </c>
      <c r="B389" t="s">
        <v>411</v>
      </c>
      <c r="C389" t="s">
        <v>11</v>
      </c>
      <c r="D389" t="s">
        <v>12</v>
      </c>
      <c r="E389" t="s">
        <v>13</v>
      </c>
      <c r="F389" t="s">
        <v>29</v>
      </c>
      <c r="G389" s="1">
        <v>3062</v>
      </c>
      <c r="H389">
        <v>1</v>
      </c>
      <c r="I389" s="1">
        <f>supermarket_sales_new[[#This Row],[Unit price]]*supermarket_sales_new[[#This Row],[Quantity]]*5%</f>
        <v>153.1</v>
      </c>
      <c r="J389" s="1">
        <f>(supermarket_sales_new[[#This Row],[Unit price]]*supermarket_sales_new[[#This Row],[Quantity]])+supermarket_sales_new[[#This Row],[Tax 5%]]</f>
        <v>3215.1</v>
      </c>
    </row>
    <row r="390" spans="1:10" x14ac:dyDescent="0.35">
      <c r="A390" t="s">
        <v>9</v>
      </c>
      <c r="B390" t="s">
        <v>412</v>
      </c>
      <c r="C390" t="s">
        <v>16</v>
      </c>
      <c r="D390" t="s">
        <v>17</v>
      </c>
      <c r="E390" t="s">
        <v>18</v>
      </c>
      <c r="F390" t="s">
        <v>22</v>
      </c>
      <c r="G390" s="1">
        <v>4401</v>
      </c>
      <c r="H390">
        <v>8</v>
      </c>
      <c r="I390" s="1">
        <f>supermarket_sales_new[[#This Row],[Unit price]]*supermarket_sales_new[[#This Row],[Quantity]]*5%</f>
        <v>1760.4</v>
      </c>
      <c r="J390" s="1">
        <f>(supermarket_sales_new[[#This Row],[Unit price]]*supermarket_sales_new[[#This Row],[Quantity]])+supermarket_sales_new[[#This Row],[Tax 5%]]</f>
        <v>36968.400000000001</v>
      </c>
    </row>
    <row r="391" spans="1:10" x14ac:dyDescent="0.35">
      <c r="A391" t="s">
        <v>9</v>
      </c>
      <c r="B391" t="s">
        <v>413</v>
      </c>
      <c r="C391" t="s">
        <v>16</v>
      </c>
      <c r="D391" t="s">
        <v>17</v>
      </c>
      <c r="E391" t="s">
        <v>13</v>
      </c>
      <c r="F391" t="s">
        <v>14</v>
      </c>
      <c r="G391" s="1">
        <v>1016</v>
      </c>
      <c r="H391">
        <v>5</v>
      </c>
      <c r="I391" s="1">
        <f>supermarket_sales_new[[#This Row],[Unit price]]*supermarket_sales_new[[#This Row],[Quantity]]*5%</f>
        <v>254</v>
      </c>
      <c r="J391" s="1">
        <f>(supermarket_sales_new[[#This Row],[Unit price]]*supermarket_sales_new[[#This Row],[Quantity]])+supermarket_sales_new[[#This Row],[Tax 5%]]</f>
        <v>5334</v>
      </c>
    </row>
    <row r="392" spans="1:10" x14ac:dyDescent="0.35">
      <c r="A392" t="s">
        <v>9</v>
      </c>
      <c r="B392" t="s">
        <v>414</v>
      </c>
      <c r="C392" t="s">
        <v>16</v>
      </c>
      <c r="D392" t="s">
        <v>17</v>
      </c>
      <c r="E392" t="s">
        <v>18</v>
      </c>
      <c r="F392" t="s">
        <v>14</v>
      </c>
      <c r="G392" s="1">
        <v>1099</v>
      </c>
      <c r="H392">
        <v>5</v>
      </c>
      <c r="I392" s="1">
        <f>supermarket_sales_new[[#This Row],[Unit price]]*supermarket_sales_new[[#This Row],[Quantity]]*5%</f>
        <v>274.75</v>
      </c>
      <c r="J392" s="1">
        <f>(supermarket_sales_new[[#This Row],[Unit price]]*supermarket_sales_new[[#This Row],[Quantity]])+supermarket_sales_new[[#This Row],[Tax 5%]]</f>
        <v>5769.75</v>
      </c>
    </row>
    <row r="393" spans="1:10" x14ac:dyDescent="0.35">
      <c r="A393" t="s">
        <v>9</v>
      </c>
      <c r="B393" t="s">
        <v>415</v>
      </c>
      <c r="C393" t="s">
        <v>25</v>
      </c>
      <c r="D393" t="s">
        <v>26</v>
      </c>
      <c r="E393" t="s">
        <v>18</v>
      </c>
      <c r="F393" t="s">
        <v>22</v>
      </c>
      <c r="G393" s="1">
        <v>9737</v>
      </c>
      <c r="H393">
        <v>10</v>
      </c>
      <c r="I393" s="1">
        <f>supermarket_sales_new[[#This Row],[Unit price]]*supermarket_sales_new[[#This Row],[Quantity]]*5%</f>
        <v>4868.5</v>
      </c>
      <c r="J393" s="1">
        <f>(supermarket_sales_new[[#This Row],[Unit price]]*supermarket_sales_new[[#This Row],[Quantity]])+supermarket_sales_new[[#This Row],[Tax 5%]]</f>
        <v>102238.5</v>
      </c>
    </row>
    <row r="394" spans="1:10" x14ac:dyDescent="0.35">
      <c r="A394" t="s">
        <v>9</v>
      </c>
      <c r="B394" t="s">
        <v>416</v>
      </c>
      <c r="C394" t="s">
        <v>11</v>
      </c>
      <c r="D394" t="s">
        <v>12</v>
      </c>
      <c r="E394" t="s">
        <v>18</v>
      </c>
      <c r="F394" t="s">
        <v>19</v>
      </c>
      <c r="G394" s="1">
        <v>4661</v>
      </c>
      <c r="H394">
        <v>2</v>
      </c>
      <c r="I394" s="1">
        <f>supermarket_sales_new[[#This Row],[Unit price]]*supermarket_sales_new[[#This Row],[Quantity]]*5%</f>
        <v>466.1</v>
      </c>
      <c r="J394" s="1">
        <f>(supermarket_sales_new[[#This Row],[Unit price]]*supermarket_sales_new[[#This Row],[Quantity]])+supermarket_sales_new[[#This Row],[Tax 5%]]</f>
        <v>9788.1</v>
      </c>
    </row>
    <row r="395" spans="1:10" x14ac:dyDescent="0.35">
      <c r="A395" t="s">
        <v>9</v>
      </c>
      <c r="B395" t="s">
        <v>417</v>
      </c>
      <c r="C395" t="s">
        <v>16</v>
      </c>
      <c r="D395" t="s">
        <v>17</v>
      </c>
      <c r="E395" t="s">
        <v>13</v>
      </c>
      <c r="F395" t="s">
        <v>22</v>
      </c>
      <c r="G395" s="1">
        <v>6087</v>
      </c>
      <c r="H395">
        <v>1</v>
      </c>
      <c r="I395" s="1">
        <f>supermarket_sales_new[[#This Row],[Unit price]]*supermarket_sales_new[[#This Row],[Quantity]]*5%</f>
        <v>304.35000000000002</v>
      </c>
      <c r="J395" s="1">
        <f>(supermarket_sales_new[[#This Row],[Unit price]]*supermarket_sales_new[[#This Row],[Quantity]])+supermarket_sales_new[[#This Row],[Tax 5%]]</f>
        <v>6391.35</v>
      </c>
    </row>
    <row r="396" spans="1:10" x14ac:dyDescent="0.35">
      <c r="A396" t="s">
        <v>9</v>
      </c>
      <c r="B396" t="s">
        <v>418</v>
      </c>
      <c r="C396" t="s">
        <v>11</v>
      </c>
      <c r="D396" t="s">
        <v>12</v>
      </c>
      <c r="E396" t="s">
        <v>13</v>
      </c>
      <c r="F396" t="s">
        <v>33</v>
      </c>
      <c r="G396" s="1">
        <v>2449</v>
      </c>
      <c r="H396">
        <v>10</v>
      </c>
      <c r="I396" s="1">
        <f>supermarket_sales_new[[#This Row],[Unit price]]*supermarket_sales_new[[#This Row],[Quantity]]*5%</f>
        <v>1224.5</v>
      </c>
      <c r="J396" s="1">
        <f>(supermarket_sales_new[[#This Row],[Unit price]]*supermarket_sales_new[[#This Row],[Quantity]])+supermarket_sales_new[[#This Row],[Tax 5%]]</f>
        <v>25714.5</v>
      </c>
    </row>
    <row r="397" spans="1:10" x14ac:dyDescent="0.35">
      <c r="A397" t="s">
        <v>9</v>
      </c>
      <c r="B397" t="s">
        <v>419</v>
      </c>
      <c r="C397" t="s">
        <v>16</v>
      </c>
      <c r="D397" t="s">
        <v>17</v>
      </c>
      <c r="E397" t="s">
        <v>13</v>
      </c>
      <c r="F397" t="s">
        <v>19</v>
      </c>
      <c r="G397" s="1">
        <v>302</v>
      </c>
      <c r="H397">
        <v>8</v>
      </c>
      <c r="I397" s="1">
        <f>supermarket_sales_new[[#This Row],[Unit price]]*supermarket_sales_new[[#This Row],[Quantity]]*5%</f>
        <v>120.80000000000001</v>
      </c>
      <c r="J397" s="1">
        <f>(supermarket_sales_new[[#This Row],[Unit price]]*supermarket_sales_new[[#This Row],[Quantity]])+supermarket_sales_new[[#This Row],[Tax 5%]]</f>
        <v>2536.8000000000002</v>
      </c>
    </row>
    <row r="398" spans="1:10" x14ac:dyDescent="0.35">
      <c r="A398" t="s">
        <v>9</v>
      </c>
      <c r="B398" t="s">
        <v>420</v>
      </c>
      <c r="C398" t="s">
        <v>11</v>
      </c>
      <c r="D398" t="s">
        <v>12</v>
      </c>
      <c r="E398" t="s">
        <v>13</v>
      </c>
      <c r="F398" t="s">
        <v>29</v>
      </c>
      <c r="G398" s="1">
        <v>4896</v>
      </c>
      <c r="H398">
        <v>9</v>
      </c>
      <c r="I398" s="1">
        <f>supermarket_sales_new[[#This Row],[Unit price]]*supermarket_sales_new[[#This Row],[Quantity]]*5%</f>
        <v>2203.2000000000003</v>
      </c>
      <c r="J398" s="1">
        <f>(supermarket_sales_new[[#This Row],[Unit price]]*supermarket_sales_new[[#This Row],[Quantity]])+supermarket_sales_new[[#This Row],[Tax 5%]]</f>
        <v>46267.199999999997</v>
      </c>
    </row>
    <row r="399" spans="1:10" x14ac:dyDescent="0.35">
      <c r="A399" t="s">
        <v>9</v>
      </c>
      <c r="B399" t="s">
        <v>421</v>
      </c>
      <c r="C399" t="s">
        <v>25</v>
      </c>
      <c r="D399" t="s">
        <v>26</v>
      </c>
      <c r="E399" t="s">
        <v>13</v>
      </c>
      <c r="F399" t="s">
        <v>19</v>
      </c>
      <c r="G399" s="1">
        <v>7559</v>
      </c>
      <c r="H399">
        <v>9</v>
      </c>
      <c r="I399" s="1">
        <f>supermarket_sales_new[[#This Row],[Unit price]]*supermarket_sales_new[[#This Row],[Quantity]]*5%</f>
        <v>3401.55</v>
      </c>
      <c r="J399" s="1">
        <f>(supermarket_sales_new[[#This Row],[Unit price]]*supermarket_sales_new[[#This Row],[Quantity]])+supermarket_sales_new[[#This Row],[Tax 5%]]</f>
        <v>71432.55</v>
      </c>
    </row>
    <row r="400" spans="1:10" x14ac:dyDescent="0.35">
      <c r="A400" t="s">
        <v>9</v>
      </c>
      <c r="B400" t="s">
        <v>422</v>
      </c>
      <c r="C400" t="s">
        <v>11</v>
      </c>
      <c r="D400" t="s">
        <v>12</v>
      </c>
      <c r="E400" t="s">
        <v>18</v>
      </c>
      <c r="F400" t="s">
        <v>22</v>
      </c>
      <c r="G400" s="1">
        <v>7747</v>
      </c>
      <c r="H400">
        <v>4</v>
      </c>
      <c r="I400" s="1">
        <f>supermarket_sales_new[[#This Row],[Unit price]]*supermarket_sales_new[[#This Row],[Quantity]]*5%</f>
        <v>1549.4</v>
      </c>
      <c r="J400" s="1">
        <f>(supermarket_sales_new[[#This Row],[Unit price]]*supermarket_sales_new[[#This Row],[Quantity]])+supermarket_sales_new[[#This Row],[Tax 5%]]</f>
        <v>32537.4</v>
      </c>
    </row>
    <row r="401" spans="1:10" x14ac:dyDescent="0.35">
      <c r="A401" t="s">
        <v>9</v>
      </c>
      <c r="B401" t="s">
        <v>423</v>
      </c>
      <c r="C401" t="s">
        <v>11</v>
      </c>
      <c r="D401" t="s">
        <v>12</v>
      </c>
      <c r="E401" t="s">
        <v>18</v>
      </c>
      <c r="F401" t="s">
        <v>33</v>
      </c>
      <c r="G401" s="1">
        <v>9318</v>
      </c>
      <c r="H401">
        <v>2</v>
      </c>
      <c r="I401" s="1">
        <f>supermarket_sales_new[[#This Row],[Unit price]]*supermarket_sales_new[[#This Row],[Quantity]]*5%</f>
        <v>931.80000000000007</v>
      </c>
      <c r="J401" s="1">
        <f>(supermarket_sales_new[[#This Row],[Unit price]]*supermarket_sales_new[[#This Row],[Quantity]])+supermarket_sales_new[[#This Row],[Tax 5%]]</f>
        <v>19567.8</v>
      </c>
    </row>
    <row r="402" spans="1:10" x14ac:dyDescent="0.35">
      <c r="A402" t="s">
        <v>9</v>
      </c>
      <c r="B402" t="s">
        <v>424</v>
      </c>
      <c r="C402" t="s">
        <v>11</v>
      </c>
      <c r="D402" t="s">
        <v>12</v>
      </c>
      <c r="E402" t="s">
        <v>18</v>
      </c>
      <c r="F402" t="s">
        <v>19</v>
      </c>
      <c r="G402" s="1">
        <v>5023</v>
      </c>
      <c r="H402">
        <v>4</v>
      </c>
      <c r="I402" s="1">
        <f>supermarket_sales_new[[#This Row],[Unit price]]*supermarket_sales_new[[#This Row],[Quantity]]*5%</f>
        <v>1004.6</v>
      </c>
      <c r="J402" s="1">
        <f>(supermarket_sales_new[[#This Row],[Unit price]]*supermarket_sales_new[[#This Row],[Quantity]])+supermarket_sales_new[[#This Row],[Tax 5%]]</f>
        <v>21096.6</v>
      </c>
    </row>
    <row r="403" spans="1:10" x14ac:dyDescent="0.35">
      <c r="A403" t="s">
        <v>9</v>
      </c>
      <c r="B403" t="s">
        <v>425</v>
      </c>
      <c r="C403" t="s">
        <v>25</v>
      </c>
      <c r="D403" t="s">
        <v>26</v>
      </c>
      <c r="E403" t="s">
        <v>18</v>
      </c>
      <c r="F403" t="s">
        <v>14</v>
      </c>
      <c r="G403" s="1">
        <v>1775</v>
      </c>
      <c r="H403">
        <v>1</v>
      </c>
      <c r="I403" s="1">
        <f>supermarket_sales_new[[#This Row],[Unit price]]*supermarket_sales_new[[#This Row],[Quantity]]*5%</f>
        <v>88.75</v>
      </c>
      <c r="J403" s="1">
        <f>(supermarket_sales_new[[#This Row],[Unit price]]*supermarket_sales_new[[#This Row],[Quantity]])+supermarket_sales_new[[#This Row],[Tax 5%]]</f>
        <v>1863.75</v>
      </c>
    </row>
    <row r="404" spans="1:10" x14ac:dyDescent="0.35">
      <c r="A404" t="s">
        <v>9</v>
      </c>
      <c r="B404" t="s">
        <v>426</v>
      </c>
      <c r="C404" t="s">
        <v>16</v>
      </c>
      <c r="D404" t="s">
        <v>17</v>
      </c>
      <c r="E404" t="s">
        <v>18</v>
      </c>
      <c r="F404" t="s">
        <v>29</v>
      </c>
      <c r="G404" s="1">
        <v>6218</v>
      </c>
      <c r="H404">
        <v>10</v>
      </c>
      <c r="I404" s="1">
        <f>supermarket_sales_new[[#This Row],[Unit price]]*supermarket_sales_new[[#This Row],[Quantity]]*5%</f>
        <v>3109</v>
      </c>
      <c r="J404" s="1">
        <f>(supermarket_sales_new[[#This Row],[Unit price]]*supermarket_sales_new[[#This Row],[Quantity]])+supermarket_sales_new[[#This Row],[Tax 5%]]</f>
        <v>65289</v>
      </c>
    </row>
    <row r="405" spans="1:10" x14ac:dyDescent="0.35">
      <c r="A405" t="s">
        <v>9</v>
      </c>
      <c r="B405" t="s">
        <v>427</v>
      </c>
      <c r="C405" t="s">
        <v>11</v>
      </c>
      <c r="D405" t="s">
        <v>12</v>
      </c>
      <c r="E405" t="s">
        <v>18</v>
      </c>
      <c r="F405" t="s">
        <v>19</v>
      </c>
      <c r="G405" s="1">
        <v>4026</v>
      </c>
      <c r="H405">
        <v>10</v>
      </c>
      <c r="I405" s="1">
        <f>supermarket_sales_new[[#This Row],[Unit price]]*supermarket_sales_new[[#This Row],[Quantity]]*5%</f>
        <v>2013</v>
      </c>
      <c r="J405" s="1">
        <f>(supermarket_sales_new[[#This Row],[Unit price]]*supermarket_sales_new[[#This Row],[Quantity]])+supermarket_sales_new[[#This Row],[Tax 5%]]</f>
        <v>42273</v>
      </c>
    </row>
    <row r="406" spans="1:10" x14ac:dyDescent="0.35">
      <c r="A406" t="s">
        <v>9</v>
      </c>
      <c r="B406" t="s">
        <v>428</v>
      </c>
      <c r="C406" t="s">
        <v>16</v>
      </c>
      <c r="D406" t="s">
        <v>17</v>
      </c>
      <c r="E406" t="s">
        <v>13</v>
      </c>
      <c r="F406" t="s">
        <v>33</v>
      </c>
      <c r="G406" s="1">
        <v>6497</v>
      </c>
      <c r="H406">
        <v>5</v>
      </c>
      <c r="I406" s="1">
        <f>supermarket_sales_new[[#This Row],[Unit price]]*supermarket_sales_new[[#This Row],[Quantity]]*5%</f>
        <v>1624.25</v>
      </c>
      <c r="J406" s="1">
        <f>(supermarket_sales_new[[#This Row],[Unit price]]*supermarket_sales_new[[#This Row],[Quantity]])+supermarket_sales_new[[#This Row],[Tax 5%]]</f>
        <v>34109.25</v>
      </c>
    </row>
    <row r="407" spans="1:10" x14ac:dyDescent="0.35">
      <c r="A407" t="s">
        <v>9</v>
      </c>
      <c r="B407" t="s">
        <v>429</v>
      </c>
      <c r="C407" t="s">
        <v>11</v>
      </c>
      <c r="D407" t="s">
        <v>12</v>
      </c>
      <c r="E407" t="s">
        <v>13</v>
      </c>
      <c r="F407" t="s">
        <v>19</v>
      </c>
      <c r="G407" s="1">
        <v>4862</v>
      </c>
      <c r="H407">
        <v>8</v>
      </c>
      <c r="I407" s="1">
        <f>supermarket_sales_new[[#This Row],[Unit price]]*supermarket_sales_new[[#This Row],[Quantity]]*5%</f>
        <v>1944.8000000000002</v>
      </c>
      <c r="J407" s="1">
        <f>(supermarket_sales_new[[#This Row],[Unit price]]*supermarket_sales_new[[#This Row],[Quantity]])+supermarket_sales_new[[#This Row],[Tax 5%]]</f>
        <v>40840.800000000003</v>
      </c>
    </row>
    <row r="408" spans="1:10" x14ac:dyDescent="0.35">
      <c r="A408" t="s">
        <v>9</v>
      </c>
      <c r="B408" t="s">
        <v>430</v>
      </c>
      <c r="C408" t="s">
        <v>25</v>
      </c>
      <c r="D408" t="s">
        <v>26</v>
      </c>
      <c r="E408" t="s">
        <v>18</v>
      </c>
      <c r="F408" t="s">
        <v>27</v>
      </c>
      <c r="G408" s="1">
        <v>5321</v>
      </c>
      <c r="H408">
        <v>8</v>
      </c>
      <c r="I408" s="1">
        <f>supermarket_sales_new[[#This Row],[Unit price]]*supermarket_sales_new[[#This Row],[Quantity]]*5%</f>
        <v>2128.4</v>
      </c>
      <c r="J408" s="1">
        <f>(supermarket_sales_new[[#This Row],[Unit price]]*supermarket_sales_new[[#This Row],[Quantity]])+supermarket_sales_new[[#This Row],[Tax 5%]]</f>
        <v>44696.4</v>
      </c>
    </row>
    <row r="409" spans="1:10" x14ac:dyDescent="0.35">
      <c r="A409" t="s">
        <v>9</v>
      </c>
      <c r="B409" t="s">
        <v>431</v>
      </c>
      <c r="C409" t="s">
        <v>16</v>
      </c>
      <c r="D409" t="s">
        <v>17</v>
      </c>
      <c r="E409" t="s">
        <v>18</v>
      </c>
      <c r="F409" t="s">
        <v>29</v>
      </c>
      <c r="G409" s="1">
        <v>4544</v>
      </c>
      <c r="H409">
        <v>7</v>
      </c>
      <c r="I409" s="1">
        <f>supermarket_sales_new[[#This Row],[Unit price]]*supermarket_sales_new[[#This Row],[Quantity]]*5%</f>
        <v>1590.4</v>
      </c>
      <c r="J409" s="1">
        <f>(supermarket_sales_new[[#This Row],[Unit price]]*supermarket_sales_new[[#This Row],[Quantity]])+supermarket_sales_new[[#This Row],[Tax 5%]]</f>
        <v>33398.400000000001</v>
      </c>
    </row>
    <row r="410" spans="1:10" x14ac:dyDescent="0.35">
      <c r="A410" t="s">
        <v>9</v>
      </c>
      <c r="B410" t="s">
        <v>432</v>
      </c>
      <c r="C410" t="s">
        <v>11</v>
      </c>
      <c r="D410" t="s">
        <v>12</v>
      </c>
      <c r="E410" t="s">
        <v>13</v>
      </c>
      <c r="F410" t="s">
        <v>22</v>
      </c>
      <c r="G410" s="1">
        <v>4768</v>
      </c>
      <c r="H410">
        <v>2</v>
      </c>
      <c r="I410" s="1">
        <f>supermarket_sales_new[[#This Row],[Unit price]]*supermarket_sales_new[[#This Row],[Quantity]]*5%</f>
        <v>476.8</v>
      </c>
      <c r="J410" s="1">
        <f>(supermarket_sales_new[[#This Row],[Unit price]]*supermarket_sales_new[[#This Row],[Quantity]])+supermarket_sales_new[[#This Row],[Tax 5%]]</f>
        <v>10012.799999999999</v>
      </c>
    </row>
    <row r="411" spans="1:10" x14ac:dyDescent="0.35">
      <c r="A411" t="s">
        <v>9</v>
      </c>
      <c r="B411" t="s">
        <v>433</v>
      </c>
      <c r="C411" t="s">
        <v>11</v>
      </c>
      <c r="D411" t="s">
        <v>12</v>
      </c>
      <c r="E411" t="s">
        <v>18</v>
      </c>
      <c r="F411" t="s">
        <v>14</v>
      </c>
      <c r="G411" s="1">
        <v>6871</v>
      </c>
      <c r="H411">
        <v>3</v>
      </c>
      <c r="I411" s="1">
        <f>supermarket_sales_new[[#This Row],[Unit price]]*supermarket_sales_new[[#This Row],[Quantity]]*5%</f>
        <v>1030.6500000000001</v>
      </c>
      <c r="J411" s="1">
        <f>(supermarket_sales_new[[#This Row],[Unit price]]*supermarket_sales_new[[#This Row],[Quantity]])+supermarket_sales_new[[#This Row],[Tax 5%]]</f>
        <v>21643.65</v>
      </c>
    </row>
    <row r="412" spans="1:10" x14ac:dyDescent="0.35">
      <c r="A412" t="s">
        <v>9</v>
      </c>
      <c r="B412" t="s">
        <v>434</v>
      </c>
      <c r="C412" t="s">
        <v>25</v>
      </c>
      <c r="D412" t="s">
        <v>26</v>
      </c>
      <c r="E412" t="s">
        <v>13</v>
      </c>
      <c r="F412" t="s">
        <v>33</v>
      </c>
      <c r="G412" s="1">
        <v>6008</v>
      </c>
      <c r="H412">
        <v>7</v>
      </c>
      <c r="I412" s="1">
        <f>supermarket_sales_new[[#This Row],[Unit price]]*supermarket_sales_new[[#This Row],[Quantity]]*5%</f>
        <v>2102.8000000000002</v>
      </c>
      <c r="J412" s="1">
        <f>(supermarket_sales_new[[#This Row],[Unit price]]*supermarket_sales_new[[#This Row],[Quantity]])+supermarket_sales_new[[#This Row],[Tax 5%]]</f>
        <v>44158.8</v>
      </c>
    </row>
    <row r="413" spans="1:10" x14ac:dyDescent="0.35">
      <c r="A413" t="s">
        <v>9</v>
      </c>
      <c r="B413" t="s">
        <v>435</v>
      </c>
      <c r="C413" t="s">
        <v>11</v>
      </c>
      <c r="D413" t="s">
        <v>12</v>
      </c>
      <c r="E413" t="s">
        <v>13</v>
      </c>
      <c r="F413" t="s">
        <v>33</v>
      </c>
      <c r="G413" s="1">
        <v>2201</v>
      </c>
      <c r="H413">
        <v>4</v>
      </c>
      <c r="I413" s="1">
        <f>supermarket_sales_new[[#This Row],[Unit price]]*supermarket_sales_new[[#This Row],[Quantity]]*5%</f>
        <v>440.20000000000005</v>
      </c>
      <c r="J413" s="1">
        <f>(supermarket_sales_new[[#This Row],[Unit price]]*supermarket_sales_new[[#This Row],[Quantity]])+supermarket_sales_new[[#This Row],[Tax 5%]]</f>
        <v>9244.2000000000007</v>
      </c>
    </row>
    <row r="414" spans="1:10" x14ac:dyDescent="0.35">
      <c r="A414" t="s">
        <v>9</v>
      </c>
      <c r="B414" t="s">
        <v>436</v>
      </c>
      <c r="C414" t="s">
        <v>25</v>
      </c>
      <c r="D414" t="s">
        <v>26</v>
      </c>
      <c r="E414" t="s">
        <v>13</v>
      </c>
      <c r="F414" t="s">
        <v>14</v>
      </c>
      <c r="G414" s="1">
        <v>7211</v>
      </c>
      <c r="H414">
        <v>9</v>
      </c>
      <c r="I414" s="1">
        <f>supermarket_sales_new[[#This Row],[Unit price]]*supermarket_sales_new[[#This Row],[Quantity]]*5%</f>
        <v>3244.9500000000003</v>
      </c>
      <c r="J414" s="1">
        <f>(supermarket_sales_new[[#This Row],[Unit price]]*supermarket_sales_new[[#This Row],[Quantity]])+supermarket_sales_new[[#This Row],[Tax 5%]]</f>
        <v>68143.95</v>
      </c>
    </row>
    <row r="415" spans="1:10" x14ac:dyDescent="0.35">
      <c r="A415" t="s">
        <v>9</v>
      </c>
      <c r="B415" t="s">
        <v>437</v>
      </c>
      <c r="C415" t="s">
        <v>11</v>
      </c>
      <c r="D415" t="s">
        <v>12</v>
      </c>
      <c r="E415" t="s">
        <v>13</v>
      </c>
      <c r="F415" t="s">
        <v>19</v>
      </c>
      <c r="G415" s="1">
        <v>7422</v>
      </c>
      <c r="H415">
        <v>10</v>
      </c>
      <c r="I415" s="1">
        <f>supermarket_sales_new[[#This Row],[Unit price]]*supermarket_sales_new[[#This Row],[Quantity]]*5%</f>
        <v>3711</v>
      </c>
      <c r="J415" s="1">
        <f>(supermarket_sales_new[[#This Row],[Unit price]]*supermarket_sales_new[[#This Row],[Quantity]])+supermarket_sales_new[[#This Row],[Tax 5%]]</f>
        <v>77931</v>
      </c>
    </row>
    <row r="416" spans="1:10" x14ac:dyDescent="0.35">
      <c r="A416" t="s">
        <v>9</v>
      </c>
      <c r="B416" t="s">
        <v>438</v>
      </c>
      <c r="C416" t="s">
        <v>25</v>
      </c>
      <c r="D416" t="s">
        <v>26</v>
      </c>
      <c r="E416" t="s">
        <v>13</v>
      </c>
      <c r="F416" t="s">
        <v>33</v>
      </c>
      <c r="G416" s="1">
        <v>1185</v>
      </c>
      <c r="H416">
        <v>8</v>
      </c>
      <c r="I416" s="1">
        <f>supermarket_sales_new[[#This Row],[Unit price]]*supermarket_sales_new[[#This Row],[Quantity]]*5%</f>
        <v>474</v>
      </c>
      <c r="J416" s="1">
        <f>(supermarket_sales_new[[#This Row],[Unit price]]*supermarket_sales_new[[#This Row],[Quantity]])+supermarket_sales_new[[#This Row],[Tax 5%]]</f>
        <v>9954</v>
      </c>
    </row>
    <row r="417" spans="1:10" x14ac:dyDescent="0.35">
      <c r="A417" t="s">
        <v>9</v>
      </c>
      <c r="B417" t="s">
        <v>439</v>
      </c>
      <c r="C417" t="s">
        <v>25</v>
      </c>
      <c r="D417" t="s">
        <v>26</v>
      </c>
      <c r="E417" t="s">
        <v>13</v>
      </c>
      <c r="F417" t="s">
        <v>22</v>
      </c>
      <c r="G417" s="1">
        <v>4073</v>
      </c>
      <c r="H417">
        <v>7</v>
      </c>
      <c r="I417" s="1">
        <f>supermarket_sales_new[[#This Row],[Unit price]]*supermarket_sales_new[[#This Row],[Quantity]]*5%</f>
        <v>1425.5500000000002</v>
      </c>
      <c r="J417" s="1">
        <f>(supermarket_sales_new[[#This Row],[Unit price]]*supermarket_sales_new[[#This Row],[Quantity]])+supermarket_sales_new[[#This Row],[Tax 5%]]</f>
        <v>29936.55</v>
      </c>
    </row>
    <row r="418" spans="1:10" x14ac:dyDescent="0.35">
      <c r="A418" t="s">
        <v>9</v>
      </c>
      <c r="B418" t="s">
        <v>440</v>
      </c>
      <c r="C418" t="s">
        <v>16</v>
      </c>
      <c r="D418" t="s">
        <v>17</v>
      </c>
      <c r="E418" t="s">
        <v>13</v>
      </c>
      <c r="F418" t="s">
        <v>33</v>
      </c>
      <c r="G418" s="1">
        <v>2922</v>
      </c>
      <c r="H418">
        <v>6</v>
      </c>
      <c r="I418" s="1">
        <f>supermarket_sales_new[[#This Row],[Unit price]]*supermarket_sales_new[[#This Row],[Quantity]]*5%</f>
        <v>876.6</v>
      </c>
      <c r="J418" s="1">
        <f>(supermarket_sales_new[[#This Row],[Unit price]]*supermarket_sales_new[[#This Row],[Quantity]])+supermarket_sales_new[[#This Row],[Tax 5%]]</f>
        <v>18408.599999999999</v>
      </c>
    </row>
    <row r="419" spans="1:10" x14ac:dyDescent="0.35">
      <c r="A419" t="s">
        <v>9</v>
      </c>
      <c r="B419" t="s">
        <v>441</v>
      </c>
      <c r="C419" t="s">
        <v>11</v>
      </c>
      <c r="D419" t="s">
        <v>12</v>
      </c>
      <c r="E419" t="s">
        <v>13</v>
      </c>
      <c r="F419" t="s">
        <v>33</v>
      </c>
      <c r="G419" s="1">
        <v>3947</v>
      </c>
      <c r="H419">
        <v>2</v>
      </c>
      <c r="I419" s="1">
        <f>supermarket_sales_new[[#This Row],[Unit price]]*supermarket_sales_new[[#This Row],[Quantity]]*5%</f>
        <v>394.70000000000005</v>
      </c>
      <c r="J419" s="1">
        <f>(supermarket_sales_new[[#This Row],[Unit price]]*supermarket_sales_new[[#This Row],[Quantity]])+supermarket_sales_new[[#This Row],[Tax 5%]]</f>
        <v>8288.7000000000007</v>
      </c>
    </row>
    <row r="420" spans="1:10" x14ac:dyDescent="0.35">
      <c r="A420" t="s">
        <v>9</v>
      </c>
      <c r="B420" t="s">
        <v>442</v>
      </c>
      <c r="C420" t="s">
        <v>16</v>
      </c>
      <c r="D420" t="s">
        <v>17</v>
      </c>
      <c r="E420" t="s">
        <v>13</v>
      </c>
      <c r="F420" t="s">
        <v>27</v>
      </c>
      <c r="G420" s="1">
        <v>1487</v>
      </c>
      <c r="H420">
        <v>2</v>
      </c>
      <c r="I420" s="1">
        <f>supermarket_sales_new[[#This Row],[Unit price]]*supermarket_sales_new[[#This Row],[Quantity]]*5%</f>
        <v>148.70000000000002</v>
      </c>
      <c r="J420" s="1">
        <f>(supermarket_sales_new[[#This Row],[Unit price]]*supermarket_sales_new[[#This Row],[Quantity]])+supermarket_sales_new[[#This Row],[Tax 5%]]</f>
        <v>3122.7</v>
      </c>
    </row>
    <row r="421" spans="1:10" x14ac:dyDescent="0.35">
      <c r="A421" t="s">
        <v>9</v>
      </c>
      <c r="B421" t="s">
        <v>443</v>
      </c>
      <c r="C421" t="s">
        <v>16</v>
      </c>
      <c r="D421" t="s">
        <v>17</v>
      </c>
      <c r="E421" t="s">
        <v>18</v>
      </c>
      <c r="F421" t="s">
        <v>33</v>
      </c>
      <c r="G421" s="1">
        <v>2238</v>
      </c>
      <c r="H421">
        <v>1</v>
      </c>
      <c r="I421" s="1">
        <f>supermarket_sales_new[[#This Row],[Unit price]]*supermarket_sales_new[[#This Row],[Quantity]]*5%</f>
        <v>111.9</v>
      </c>
      <c r="J421" s="1">
        <f>(supermarket_sales_new[[#This Row],[Unit price]]*supermarket_sales_new[[#This Row],[Quantity]])+supermarket_sales_new[[#This Row],[Tax 5%]]</f>
        <v>2349.9</v>
      </c>
    </row>
    <row r="422" spans="1:10" x14ac:dyDescent="0.35">
      <c r="A422" t="s">
        <v>9</v>
      </c>
      <c r="B422" t="s">
        <v>444</v>
      </c>
      <c r="C422" t="s">
        <v>16</v>
      </c>
      <c r="D422" t="s">
        <v>17</v>
      </c>
      <c r="E422" t="s">
        <v>13</v>
      </c>
      <c r="F422" t="s">
        <v>27</v>
      </c>
      <c r="G422" s="1">
        <v>7288</v>
      </c>
      <c r="H422">
        <v>9</v>
      </c>
      <c r="I422" s="1">
        <f>supermarket_sales_new[[#This Row],[Unit price]]*supermarket_sales_new[[#This Row],[Quantity]]*5%</f>
        <v>3279.6000000000004</v>
      </c>
      <c r="J422" s="1">
        <f>(supermarket_sales_new[[#This Row],[Unit price]]*supermarket_sales_new[[#This Row],[Quantity]])+supermarket_sales_new[[#This Row],[Tax 5%]]</f>
        <v>68871.600000000006</v>
      </c>
    </row>
    <row r="423" spans="1:10" x14ac:dyDescent="0.35">
      <c r="A423" t="s">
        <v>9</v>
      </c>
      <c r="B423" t="s">
        <v>445</v>
      </c>
      <c r="C423" t="s">
        <v>11</v>
      </c>
      <c r="D423" t="s">
        <v>12</v>
      </c>
      <c r="E423" t="s">
        <v>18</v>
      </c>
      <c r="F423" t="s">
        <v>29</v>
      </c>
      <c r="G423" s="1">
        <v>991</v>
      </c>
      <c r="H423">
        <v>6</v>
      </c>
      <c r="I423" s="1">
        <f>supermarket_sales_new[[#This Row],[Unit price]]*supermarket_sales_new[[#This Row],[Quantity]]*5%</f>
        <v>297.3</v>
      </c>
      <c r="J423" s="1">
        <f>(supermarket_sales_new[[#This Row],[Unit price]]*supermarket_sales_new[[#This Row],[Quantity]])+supermarket_sales_new[[#This Row],[Tax 5%]]</f>
        <v>6243.3</v>
      </c>
    </row>
    <row r="424" spans="1:10" x14ac:dyDescent="0.35">
      <c r="A424" t="s">
        <v>9</v>
      </c>
      <c r="B424" t="s">
        <v>446</v>
      </c>
      <c r="C424" t="s">
        <v>11</v>
      </c>
      <c r="D424" t="s">
        <v>12</v>
      </c>
      <c r="E424" t="s">
        <v>18</v>
      </c>
      <c r="F424" t="s">
        <v>29</v>
      </c>
      <c r="G424" s="1">
        <v>9848</v>
      </c>
      <c r="H424">
        <v>2</v>
      </c>
      <c r="I424" s="1">
        <f>supermarket_sales_new[[#This Row],[Unit price]]*supermarket_sales_new[[#This Row],[Quantity]]*5%</f>
        <v>984.80000000000007</v>
      </c>
      <c r="J424" s="1">
        <f>(supermarket_sales_new[[#This Row],[Unit price]]*supermarket_sales_new[[#This Row],[Quantity]])+supermarket_sales_new[[#This Row],[Tax 5%]]</f>
        <v>20680.8</v>
      </c>
    </row>
    <row r="425" spans="1:10" x14ac:dyDescent="0.35">
      <c r="A425" t="s">
        <v>9</v>
      </c>
      <c r="B425" t="s">
        <v>447</v>
      </c>
      <c r="C425" t="s">
        <v>25</v>
      </c>
      <c r="D425" t="s">
        <v>26</v>
      </c>
      <c r="E425" t="s">
        <v>18</v>
      </c>
      <c r="F425" t="s">
        <v>19</v>
      </c>
      <c r="G425" s="1">
        <v>5279</v>
      </c>
      <c r="H425">
        <v>10</v>
      </c>
      <c r="I425" s="1">
        <f>supermarket_sales_new[[#This Row],[Unit price]]*supermarket_sales_new[[#This Row],[Quantity]]*5%</f>
        <v>2639.5</v>
      </c>
      <c r="J425" s="1">
        <f>(supermarket_sales_new[[#This Row],[Unit price]]*supermarket_sales_new[[#This Row],[Quantity]])+supermarket_sales_new[[#This Row],[Tax 5%]]</f>
        <v>55429.5</v>
      </c>
    </row>
    <row r="426" spans="1:10" x14ac:dyDescent="0.35">
      <c r="A426" t="s">
        <v>9</v>
      </c>
      <c r="B426" t="s">
        <v>448</v>
      </c>
      <c r="C426" t="s">
        <v>11</v>
      </c>
      <c r="D426" t="s">
        <v>12</v>
      </c>
      <c r="E426" t="s">
        <v>13</v>
      </c>
      <c r="F426" t="s">
        <v>14</v>
      </c>
      <c r="G426" s="1">
        <v>9595</v>
      </c>
      <c r="H426">
        <v>5</v>
      </c>
      <c r="I426" s="1">
        <f>supermarket_sales_new[[#This Row],[Unit price]]*supermarket_sales_new[[#This Row],[Quantity]]*5%</f>
        <v>2398.75</v>
      </c>
      <c r="J426" s="1">
        <f>(supermarket_sales_new[[#This Row],[Unit price]]*supermarket_sales_new[[#This Row],[Quantity]])+supermarket_sales_new[[#This Row],[Tax 5%]]</f>
        <v>50373.75</v>
      </c>
    </row>
    <row r="427" spans="1:10" x14ac:dyDescent="0.35">
      <c r="A427" t="s">
        <v>9</v>
      </c>
      <c r="B427" t="s">
        <v>449</v>
      </c>
      <c r="C427" t="s">
        <v>25</v>
      </c>
      <c r="D427" t="s">
        <v>26</v>
      </c>
      <c r="E427" t="s">
        <v>18</v>
      </c>
      <c r="F427" t="s">
        <v>29</v>
      </c>
      <c r="G427" s="1">
        <v>3651</v>
      </c>
      <c r="H427">
        <v>9</v>
      </c>
      <c r="I427" s="1">
        <f>supermarket_sales_new[[#This Row],[Unit price]]*supermarket_sales_new[[#This Row],[Quantity]]*5%</f>
        <v>1642.95</v>
      </c>
      <c r="J427" s="1">
        <f>(supermarket_sales_new[[#This Row],[Unit price]]*supermarket_sales_new[[#This Row],[Quantity]])+supermarket_sales_new[[#This Row],[Tax 5%]]</f>
        <v>34501.949999999997</v>
      </c>
    </row>
    <row r="428" spans="1:10" x14ac:dyDescent="0.35">
      <c r="A428" t="s">
        <v>9</v>
      </c>
      <c r="B428" t="s">
        <v>450</v>
      </c>
      <c r="C428" t="s">
        <v>11</v>
      </c>
      <c r="D428" t="s">
        <v>12</v>
      </c>
      <c r="E428" t="s">
        <v>13</v>
      </c>
      <c r="F428" t="s">
        <v>22</v>
      </c>
      <c r="G428" s="1">
        <v>2831</v>
      </c>
      <c r="H428">
        <v>4</v>
      </c>
      <c r="I428" s="1">
        <f>supermarket_sales_new[[#This Row],[Unit price]]*supermarket_sales_new[[#This Row],[Quantity]]*5%</f>
        <v>566.20000000000005</v>
      </c>
      <c r="J428" s="1">
        <f>(supermarket_sales_new[[#This Row],[Unit price]]*supermarket_sales_new[[#This Row],[Quantity]])+supermarket_sales_new[[#This Row],[Tax 5%]]</f>
        <v>11890.2</v>
      </c>
    </row>
    <row r="429" spans="1:10" x14ac:dyDescent="0.35">
      <c r="A429" t="s">
        <v>9</v>
      </c>
      <c r="B429" t="s">
        <v>451</v>
      </c>
      <c r="C429" t="s">
        <v>11</v>
      </c>
      <c r="D429" t="s">
        <v>12</v>
      </c>
      <c r="E429" t="s">
        <v>13</v>
      </c>
      <c r="F429" t="s">
        <v>27</v>
      </c>
      <c r="G429" s="1">
        <v>4763</v>
      </c>
      <c r="H429">
        <v>9</v>
      </c>
      <c r="I429" s="1">
        <f>supermarket_sales_new[[#This Row],[Unit price]]*supermarket_sales_new[[#This Row],[Quantity]]*5%</f>
        <v>2143.35</v>
      </c>
      <c r="J429" s="1">
        <f>(supermarket_sales_new[[#This Row],[Unit price]]*supermarket_sales_new[[#This Row],[Quantity]])+supermarket_sales_new[[#This Row],[Tax 5%]]</f>
        <v>45010.35</v>
      </c>
    </row>
    <row r="430" spans="1:10" x14ac:dyDescent="0.35">
      <c r="A430" t="s">
        <v>9</v>
      </c>
      <c r="B430" t="s">
        <v>452</v>
      </c>
      <c r="C430" t="s">
        <v>16</v>
      </c>
      <c r="D430" t="s">
        <v>17</v>
      </c>
      <c r="E430" t="s">
        <v>13</v>
      </c>
      <c r="F430" t="s">
        <v>22</v>
      </c>
      <c r="G430" s="1">
        <v>8627</v>
      </c>
      <c r="H430">
        <v>1</v>
      </c>
      <c r="I430" s="1">
        <f>supermarket_sales_new[[#This Row],[Unit price]]*supermarket_sales_new[[#This Row],[Quantity]]*5%</f>
        <v>431.35</v>
      </c>
      <c r="J430" s="1">
        <f>(supermarket_sales_new[[#This Row],[Unit price]]*supermarket_sales_new[[#This Row],[Quantity]])+supermarket_sales_new[[#This Row],[Tax 5%]]</f>
        <v>9058.35</v>
      </c>
    </row>
    <row r="431" spans="1:10" x14ac:dyDescent="0.35">
      <c r="A431" t="s">
        <v>9</v>
      </c>
      <c r="B431" t="s">
        <v>453</v>
      </c>
      <c r="C431" t="s">
        <v>25</v>
      </c>
      <c r="D431" t="s">
        <v>26</v>
      </c>
      <c r="E431" t="s">
        <v>18</v>
      </c>
      <c r="F431" t="s">
        <v>22</v>
      </c>
      <c r="G431" s="1">
        <v>1128</v>
      </c>
      <c r="H431">
        <v>9</v>
      </c>
      <c r="I431" s="1">
        <f>supermarket_sales_new[[#This Row],[Unit price]]*supermarket_sales_new[[#This Row],[Quantity]]*5%</f>
        <v>507.6</v>
      </c>
      <c r="J431" s="1">
        <f>(supermarket_sales_new[[#This Row],[Unit price]]*supermarket_sales_new[[#This Row],[Quantity]])+supermarket_sales_new[[#This Row],[Tax 5%]]</f>
        <v>10659.6</v>
      </c>
    </row>
    <row r="432" spans="1:10" x14ac:dyDescent="0.35">
      <c r="A432" t="s">
        <v>9</v>
      </c>
      <c r="B432" t="s">
        <v>454</v>
      </c>
      <c r="C432" t="s">
        <v>25</v>
      </c>
      <c r="D432" t="s">
        <v>26</v>
      </c>
      <c r="E432" t="s">
        <v>18</v>
      </c>
      <c r="F432" t="s">
        <v>22</v>
      </c>
      <c r="G432" s="1">
        <v>5107</v>
      </c>
      <c r="H432">
        <v>7</v>
      </c>
      <c r="I432" s="1">
        <f>supermarket_sales_new[[#This Row],[Unit price]]*supermarket_sales_new[[#This Row],[Quantity]]*5%</f>
        <v>1787.45</v>
      </c>
      <c r="J432" s="1">
        <f>(supermarket_sales_new[[#This Row],[Unit price]]*supermarket_sales_new[[#This Row],[Quantity]])+supermarket_sales_new[[#This Row],[Tax 5%]]</f>
        <v>37536.449999999997</v>
      </c>
    </row>
    <row r="433" spans="1:10" x14ac:dyDescent="0.35">
      <c r="A433" t="s">
        <v>9</v>
      </c>
      <c r="B433" t="s">
        <v>455</v>
      </c>
      <c r="C433" t="s">
        <v>11</v>
      </c>
      <c r="D433" t="s">
        <v>12</v>
      </c>
      <c r="E433" t="s">
        <v>13</v>
      </c>
      <c r="F433" t="s">
        <v>19</v>
      </c>
      <c r="G433" s="1">
        <v>7959</v>
      </c>
      <c r="H433">
        <v>3</v>
      </c>
      <c r="I433" s="1">
        <f>supermarket_sales_new[[#This Row],[Unit price]]*supermarket_sales_new[[#This Row],[Quantity]]*5%</f>
        <v>1193.8500000000001</v>
      </c>
      <c r="J433" s="1">
        <f>(supermarket_sales_new[[#This Row],[Unit price]]*supermarket_sales_new[[#This Row],[Quantity]])+supermarket_sales_new[[#This Row],[Tax 5%]]</f>
        <v>25070.85</v>
      </c>
    </row>
    <row r="434" spans="1:10" x14ac:dyDescent="0.35">
      <c r="A434" t="s">
        <v>9</v>
      </c>
      <c r="B434" t="s">
        <v>456</v>
      </c>
      <c r="C434" t="s">
        <v>16</v>
      </c>
      <c r="D434" t="s">
        <v>17</v>
      </c>
      <c r="E434" t="s">
        <v>13</v>
      </c>
      <c r="F434" t="s">
        <v>14</v>
      </c>
      <c r="G434" s="1">
        <v>6282</v>
      </c>
      <c r="H434">
        <v>2</v>
      </c>
      <c r="I434" s="1">
        <f>supermarket_sales_new[[#This Row],[Unit price]]*supermarket_sales_new[[#This Row],[Quantity]]*5%</f>
        <v>628.20000000000005</v>
      </c>
      <c r="J434" s="1">
        <f>(supermarket_sales_new[[#This Row],[Unit price]]*supermarket_sales_new[[#This Row],[Quantity]])+supermarket_sales_new[[#This Row],[Tax 5%]]</f>
        <v>13192.2</v>
      </c>
    </row>
    <row r="435" spans="1:10" x14ac:dyDescent="0.35">
      <c r="A435" t="s">
        <v>9</v>
      </c>
      <c r="B435" t="s">
        <v>457</v>
      </c>
      <c r="C435" t="s">
        <v>25</v>
      </c>
      <c r="D435" t="s">
        <v>26</v>
      </c>
      <c r="E435" t="s">
        <v>13</v>
      </c>
      <c r="F435" t="s">
        <v>19</v>
      </c>
      <c r="G435" s="1">
        <v>2143</v>
      </c>
      <c r="H435">
        <v>10</v>
      </c>
      <c r="I435" s="1">
        <f>supermarket_sales_new[[#This Row],[Unit price]]*supermarket_sales_new[[#This Row],[Quantity]]*5%</f>
        <v>1071.5</v>
      </c>
      <c r="J435" s="1">
        <f>(supermarket_sales_new[[#This Row],[Unit price]]*supermarket_sales_new[[#This Row],[Quantity]])+supermarket_sales_new[[#This Row],[Tax 5%]]</f>
        <v>22501.5</v>
      </c>
    </row>
    <row r="436" spans="1:10" x14ac:dyDescent="0.35">
      <c r="A436" t="s">
        <v>9</v>
      </c>
      <c r="B436" t="s">
        <v>458</v>
      </c>
      <c r="C436" t="s">
        <v>11</v>
      </c>
      <c r="D436" t="s">
        <v>12</v>
      </c>
      <c r="E436" t="s">
        <v>18</v>
      </c>
      <c r="F436" t="s">
        <v>19</v>
      </c>
      <c r="G436" s="1">
        <v>9002</v>
      </c>
      <c r="H436">
        <v>8</v>
      </c>
      <c r="I436" s="1">
        <f>supermarket_sales_new[[#This Row],[Unit price]]*supermarket_sales_new[[#This Row],[Quantity]]*5%</f>
        <v>3600.8</v>
      </c>
      <c r="J436" s="1">
        <f>(supermarket_sales_new[[#This Row],[Unit price]]*supermarket_sales_new[[#This Row],[Quantity]])+supermarket_sales_new[[#This Row],[Tax 5%]]</f>
        <v>75616.800000000003</v>
      </c>
    </row>
    <row r="437" spans="1:10" x14ac:dyDescent="0.35">
      <c r="A437" t="s">
        <v>9</v>
      </c>
      <c r="B437" t="s">
        <v>459</v>
      </c>
      <c r="C437" t="s">
        <v>25</v>
      </c>
      <c r="D437" t="s">
        <v>26</v>
      </c>
      <c r="E437" t="s">
        <v>13</v>
      </c>
      <c r="F437" t="s">
        <v>19</v>
      </c>
      <c r="G437" s="1">
        <v>121</v>
      </c>
      <c r="H437">
        <v>8</v>
      </c>
      <c r="I437" s="1">
        <f>supermarket_sales_new[[#This Row],[Unit price]]*supermarket_sales_new[[#This Row],[Quantity]]*5%</f>
        <v>48.400000000000006</v>
      </c>
      <c r="J437" s="1">
        <f>(supermarket_sales_new[[#This Row],[Unit price]]*supermarket_sales_new[[#This Row],[Quantity]])+supermarket_sales_new[[#This Row],[Tax 5%]]</f>
        <v>1016.4</v>
      </c>
    </row>
    <row r="438" spans="1:10" x14ac:dyDescent="0.35">
      <c r="A438" t="s">
        <v>9</v>
      </c>
      <c r="B438" t="s">
        <v>460</v>
      </c>
      <c r="C438" t="s">
        <v>25</v>
      </c>
      <c r="D438" t="s">
        <v>26</v>
      </c>
      <c r="E438" t="s">
        <v>13</v>
      </c>
      <c r="F438" t="s">
        <v>27</v>
      </c>
      <c r="G438" s="1">
        <v>3321</v>
      </c>
      <c r="H438">
        <v>10</v>
      </c>
      <c r="I438" s="1">
        <f>supermarket_sales_new[[#This Row],[Unit price]]*supermarket_sales_new[[#This Row],[Quantity]]*5%</f>
        <v>1660.5</v>
      </c>
      <c r="J438" s="1">
        <f>(supermarket_sales_new[[#This Row],[Unit price]]*supermarket_sales_new[[#This Row],[Quantity]])+supermarket_sales_new[[#This Row],[Tax 5%]]</f>
        <v>34870.5</v>
      </c>
    </row>
    <row r="439" spans="1:10" x14ac:dyDescent="0.35">
      <c r="A439" t="s">
        <v>9</v>
      </c>
      <c r="B439" t="s">
        <v>461</v>
      </c>
      <c r="C439" t="s">
        <v>16</v>
      </c>
      <c r="D439" t="s">
        <v>17</v>
      </c>
      <c r="E439" t="s">
        <v>13</v>
      </c>
      <c r="F439" t="s">
        <v>29</v>
      </c>
      <c r="G439" s="1">
        <v>1018</v>
      </c>
      <c r="H439">
        <v>8</v>
      </c>
      <c r="I439" s="1">
        <f>supermarket_sales_new[[#This Row],[Unit price]]*supermarket_sales_new[[#This Row],[Quantity]]*5%</f>
        <v>407.20000000000005</v>
      </c>
      <c r="J439" s="1">
        <f>(supermarket_sales_new[[#This Row],[Unit price]]*supermarket_sales_new[[#This Row],[Quantity]])+supermarket_sales_new[[#This Row],[Tax 5%]]</f>
        <v>8551.2000000000007</v>
      </c>
    </row>
    <row r="440" spans="1:10" x14ac:dyDescent="0.35">
      <c r="A440" t="s">
        <v>9</v>
      </c>
      <c r="B440" t="s">
        <v>462</v>
      </c>
      <c r="C440" t="s">
        <v>11</v>
      </c>
      <c r="D440" t="s">
        <v>12</v>
      </c>
      <c r="E440" t="s">
        <v>13</v>
      </c>
      <c r="F440" t="s">
        <v>22</v>
      </c>
      <c r="G440" s="1">
        <v>3442</v>
      </c>
      <c r="H440">
        <v>6</v>
      </c>
      <c r="I440" s="1">
        <f>supermarket_sales_new[[#This Row],[Unit price]]*supermarket_sales_new[[#This Row],[Quantity]]*5%</f>
        <v>1032.6000000000001</v>
      </c>
      <c r="J440" s="1">
        <f>(supermarket_sales_new[[#This Row],[Unit price]]*supermarket_sales_new[[#This Row],[Quantity]])+supermarket_sales_new[[#This Row],[Tax 5%]]</f>
        <v>21684.6</v>
      </c>
    </row>
    <row r="441" spans="1:10" x14ac:dyDescent="0.35">
      <c r="A441" t="s">
        <v>9</v>
      </c>
      <c r="B441" t="s">
        <v>463</v>
      </c>
      <c r="C441" t="s">
        <v>11</v>
      </c>
      <c r="D441" t="s">
        <v>12</v>
      </c>
      <c r="E441" t="s">
        <v>13</v>
      </c>
      <c r="F441" t="s">
        <v>27</v>
      </c>
      <c r="G441" s="1">
        <v>8334</v>
      </c>
      <c r="H441">
        <v>2</v>
      </c>
      <c r="I441" s="1">
        <f>supermarket_sales_new[[#This Row],[Unit price]]*supermarket_sales_new[[#This Row],[Quantity]]*5%</f>
        <v>833.40000000000009</v>
      </c>
      <c r="J441" s="1">
        <f>(supermarket_sales_new[[#This Row],[Unit price]]*supermarket_sales_new[[#This Row],[Quantity]])+supermarket_sales_new[[#This Row],[Tax 5%]]</f>
        <v>17501.400000000001</v>
      </c>
    </row>
    <row r="442" spans="1:10" x14ac:dyDescent="0.35">
      <c r="A442" t="s">
        <v>9</v>
      </c>
      <c r="B442" t="s">
        <v>464</v>
      </c>
      <c r="C442" t="s">
        <v>11</v>
      </c>
      <c r="D442" t="s">
        <v>12</v>
      </c>
      <c r="E442" t="s">
        <v>13</v>
      </c>
      <c r="F442" t="s">
        <v>19</v>
      </c>
      <c r="G442" s="1">
        <v>7347</v>
      </c>
      <c r="H442">
        <v>10</v>
      </c>
      <c r="I442" s="1">
        <f>supermarket_sales_new[[#This Row],[Unit price]]*supermarket_sales_new[[#This Row],[Quantity]]*5%</f>
        <v>3673.5</v>
      </c>
      <c r="J442" s="1">
        <f>(supermarket_sales_new[[#This Row],[Unit price]]*supermarket_sales_new[[#This Row],[Quantity]])+supermarket_sales_new[[#This Row],[Tax 5%]]</f>
        <v>77143.5</v>
      </c>
    </row>
    <row r="443" spans="1:10" x14ac:dyDescent="0.35">
      <c r="A443" t="s">
        <v>9</v>
      </c>
      <c r="B443" t="s">
        <v>465</v>
      </c>
      <c r="C443" t="s">
        <v>16</v>
      </c>
      <c r="D443" t="s">
        <v>17</v>
      </c>
      <c r="E443" t="s">
        <v>18</v>
      </c>
      <c r="F443" t="s">
        <v>29</v>
      </c>
      <c r="G443" s="1">
        <v>1219</v>
      </c>
      <c r="H443">
        <v>8</v>
      </c>
      <c r="I443" s="1">
        <f>supermarket_sales_new[[#This Row],[Unit price]]*supermarket_sales_new[[#This Row],[Quantity]]*5%</f>
        <v>487.6</v>
      </c>
      <c r="J443" s="1">
        <f>(supermarket_sales_new[[#This Row],[Unit price]]*supermarket_sales_new[[#This Row],[Quantity]])+supermarket_sales_new[[#This Row],[Tax 5%]]</f>
        <v>10239.6</v>
      </c>
    </row>
    <row r="444" spans="1:10" x14ac:dyDescent="0.35">
      <c r="A444" t="s">
        <v>9</v>
      </c>
      <c r="B444" t="s">
        <v>466</v>
      </c>
      <c r="C444" t="s">
        <v>16</v>
      </c>
      <c r="D444" t="s">
        <v>17</v>
      </c>
      <c r="E444" t="s">
        <v>18</v>
      </c>
      <c r="F444" t="s">
        <v>14</v>
      </c>
      <c r="G444" s="1">
        <v>8366</v>
      </c>
      <c r="H444">
        <v>5</v>
      </c>
      <c r="I444" s="1">
        <f>supermarket_sales_new[[#This Row],[Unit price]]*supermarket_sales_new[[#This Row],[Quantity]]*5%</f>
        <v>2091.5</v>
      </c>
      <c r="J444" s="1">
        <f>(supermarket_sales_new[[#This Row],[Unit price]]*supermarket_sales_new[[#This Row],[Quantity]])+supermarket_sales_new[[#This Row],[Tax 5%]]</f>
        <v>43921.5</v>
      </c>
    </row>
    <row r="445" spans="1:10" x14ac:dyDescent="0.35">
      <c r="A445" t="s">
        <v>9</v>
      </c>
      <c r="B445" t="s">
        <v>467</v>
      </c>
      <c r="C445" t="s">
        <v>25</v>
      </c>
      <c r="D445" t="s">
        <v>26</v>
      </c>
      <c r="E445" t="s">
        <v>18</v>
      </c>
      <c r="F445" t="s">
        <v>19</v>
      </c>
      <c r="G445" s="1">
        <v>5791</v>
      </c>
      <c r="H445">
        <v>8</v>
      </c>
      <c r="I445" s="1">
        <f>supermarket_sales_new[[#This Row],[Unit price]]*supermarket_sales_new[[#This Row],[Quantity]]*5%</f>
        <v>2316.4</v>
      </c>
      <c r="J445" s="1">
        <f>(supermarket_sales_new[[#This Row],[Unit price]]*supermarket_sales_new[[#This Row],[Quantity]])+supermarket_sales_new[[#This Row],[Tax 5%]]</f>
        <v>48644.4</v>
      </c>
    </row>
    <row r="446" spans="1:10" x14ac:dyDescent="0.35">
      <c r="A446" t="s">
        <v>9</v>
      </c>
      <c r="B446" t="s">
        <v>468</v>
      </c>
      <c r="C446" t="s">
        <v>16</v>
      </c>
      <c r="D446" t="s">
        <v>17</v>
      </c>
      <c r="E446" t="s">
        <v>13</v>
      </c>
      <c r="F446" t="s">
        <v>29</v>
      </c>
      <c r="G446" s="1">
        <v>9249</v>
      </c>
      <c r="H446">
        <v>5</v>
      </c>
      <c r="I446" s="1">
        <f>supermarket_sales_new[[#This Row],[Unit price]]*supermarket_sales_new[[#This Row],[Quantity]]*5%</f>
        <v>2312.25</v>
      </c>
      <c r="J446" s="1">
        <f>(supermarket_sales_new[[#This Row],[Unit price]]*supermarket_sales_new[[#This Row],[Quantity]])+supermarket_sales_new[[#This Row],[Tax 5%]]</f>
        <v>48557.25</v>
      </c>
    </row>
    <row r="447" spans="1:10" x14ac:dyDescent="0.35">
      <c r="A447" t="s">
        <v>9</v>
      </c>
      <c r="B447" t="s">
        <v>469</v>
      </c>
      <c r="C447" t="s">
        <v>16</v>
      </c>
      <c r="D447" t="s">
        <v>17</v>
      </c>
      <c r="E447" t="s">
        <v>13</v>
      </c>
      <c r="F447" t="s">
        <v>27</v>
      </c>
      <c r="G447" s="1">
        <v>4727</v>
      </c>
      <c r="H447">
        <v>6</v>
      </c>
      <c r="I447" s="1">
        <f>supermarket_sales_new[[#This Row],[Unit price]]*supermarket_sales_new[[#This Row],[Quantity]]*5%</f>
        <v>1418.1000000000001</v>
      </c>
      <c r="J447" s="1">
        <f>(supermarket_sales_new[[#This Row],[Unit price]]*supermarket_sales_new[[#This Row],[Quantity]])+supermarket_sales_new[[#This Row],[Tax 5%]]</f>
        <v>29780.1</v>
      </c>
    </row>
    <row r="448" spans="1:10" x14ac:dyDescent="0.35">
      <c r="A448" t="s">
        <v>9</v>
      </c>
      <c r="B448" t="s">
        <v>470</v>
      </c>
      <c r="C448" t="s">
        <v>16</v>
      </c>
      <c r="D448" t="s">
        <v>17</v>
      </c>
      <c r="E448" t="s">
        <v>13</v>
      </c>
      <c r="F448" t="s">
        <v>19</v>
      </c>
      <c r="G448" s="1">
        <v>4484</v>
      </c>
      <c r="H448">
        <v>9</v>
      </c>
      <c r="I448" s="1">
        <f>supermarket_sales_new[[#This Row],[Unit price]]*supermarket_sales_new[[#This Row],[Quantity]]*5%</f>
        <v>2017.8000000000002</v>
      </c>
      <c r="J448" s="1">
        <f>(supermarket_sales_new[[#This Row],[Unit price]]*supermarket_sales_new[[#This Row],[Quantity]])+supermarket_sales_new[[#This Row],[Tax 5%]]</f>
        <v>42373.8</v>
      </c>
    </row>
    <row r="449" spans="1:10" x14ac:dyDescent="0.35">
      <c r="A449" t="s">
        <v>9</v>
      </c>
      <c r="B449" t="s">
        <v>471</v>
      </c>
      <c r="C449" t="s">
        <v>11</v>
      </c>
      <c r="D449" t="s">
        <v>12</v>
      </c>
      <c r="E449" t="s">
        <v>13</v>
      </c>
      <c r="F449" t="s">
        <v>14</v>
      </c>
      <c r="G449" s="1">
        <v>2773</v>
      </c>
      <c r="H449">
        <v>5</v>
      </c>
      <c r="I449" s="1">
        <f>supermarket_sales_new[[#This Row],[Unit price]]*supermarket_sales_new[[#This Row],[Quantity]]*5%</f>
        <v>693.25</v>
      </c>
      <c r="J449" s="1">
        <f>(supermarket_sales_new[[#This Row],[Unit price]]*supermarket_sales_new[[#This Row],[Quantity]])+supermarket_sales_new[[#This Row],[Tax 5%]]</f>
        <v>14558.25</v>
      </c>
    </row>
    <row r="450" spans="1:10" x14ac:dyDescent="0.35">
      <c r="A450" t="s">
        <v>9</v>
      </c>
      <c r="B450" t="s">
        <v>472</v>
      </c>
      <c r="C450" t="s">
        <v>16</v>
      </c>
      <c r="D450" t="s">
        <v>17</v>
      </c>
      <c r="E450" t="s">
        <v>18</v>
      </c>
      <c r="F450" t="s">
        <v>14</v>
      </c>
      <c r="G450" s="1">
        <v>5832</v>
      </c>
      <c r="H450">
        <v>2</v>
      </c>
      <c r="I450" s="1">
        <f>supermarket_sales_new[[#This Row],[Unit price]]*supermarket_sales_new[[#This Row],[Quantity]]*5%</f>
        <v>583.20000000000005</v>
      </c>
      <c r="J450" s="1">
        <f>(supermarket_sales_new[[#This Row],[Unit price]]*supermarket_sales_new[[#This Row],[Quantity]])+supermarket_sales_new[[#This Row],[Tax 5%]]</f>
        <v>12247.2</v>
      </c>
    </row>
    <row r="451" spans="1:10" x14ac:dyDescent="0.35">
      <c r="A451" t="s">
        <v>9</v>
      </c>
      <c r="B451" t="s">
        <v>473</v>
      </c>
      <c r="C451" t="s">
        <v>16</v>
      </c>
      <c r="D451" t="s">
        <v>17</v>
      </c>
      <c r="E451" t="s">
        <v>13</v>
      </c>
      <c r="F451" t="s">
        <v>22</v>
      </c>
      <c r="G451" s="1">
        <v>7838</v>
      </c>
      <c r="H451">
        <v>4</v>
      </c>
      <c r="I451" s="1">
        <f>supermarket_sales_new[[#This Row],[Unit price]]*supermarket_sales_new[[#This Row],[Quantity]]*5%</f>
        <v>1567.6000000000001</v>
      </c>
      <c r="J451" s="1">
        <f>(supermarket_sales_new[[#This Row],[Unit price]]*supermarket_sales_new[[#This Row],[Quantity]])+supermarket_sales_new[[#This Row],[Tax 5%]]</f>
        <v>32919.599999999999</v>
      </c>
    </row>
    <row r="452" spans="1:10" x14ac:dyDescent="0.35">
      <c r="A452" t="s">
        <v>9</v>
      </c>
      <c r="B452" t="s">
        <v>474</v>
      </c>
      <c r="C452" t="s">
        <v>25</v>
      </c>
      <c r="D452" t="s">
        <v>26</v>
      </c>
      <c r="E452" t="s">
        <v>18</v>
      </c>
      <c r="F452" t="s">
        <v>14</v>
      </c>
      <c r="G452" s="1">
        <v>8288</v>
      </c>
      <c r="H452">
        <v>5</v>
      </c>
      <c r="I452" s="1">
        <f>supermarket_sales_new[[#This Row],[Unit price]]*supermarket_sales_new[[#This Row],[Quantity]]*5%</f>
        <v>2072</v>
      </c>
      <c r="J452" s="1">
        <f>(supermarket_sales_new[[#This Row],[Unit price]]*supermarket_sales_new[[#This Row],[Quantity]])+supermarket_sales_new[[#This Row],[Tax 5%]]</f>
        <v>43512</v>
      </c>
    </row>
    <row r="453" spans="1:10" x14ac:dyDescent="0.35">
      <c r="A453" t="s">
        <v>9</v>
      </c>
      <c r="B453" t="s">
        <v>475</v>
      </c>
      <c r="C453" t="s">
        <v>11</v>
      </c>
      <c r="D453" t="s">
        <v>12</v>
      </c>
      <c r="E453" t="s">
        <v>13</v>
      </c>
      <c r="F453" t="s">
        <v>27</v>
      </c>
      <c r="G453" s="1">
        <v>7954</v>
      </c>
      <c r="H453">
        <v>2</v>
      </c>
      <c r="I453" s="1">
        <f>supermarket_sales_new[[#This Row],[Unit price]]*supermarket_sales_new[[#This Row],[Quantity]]*5%</f>
        <v>795.40000000000009</v>
      </c>
      <c r="J453" s="1">
        <f>(supermarket_sales_new[[#This Row],[Unit price]]*supermarket_sales_new[[#This Row],[Quantity]])+supermarket_sales_new[[#This Row],[Tax 5%]]</f>
        <v>16703.400000000001</v>
      </c>
    </row>
    <row r="454" spans="1:10" x14ac:dyDescent="0.35">
      <c r="A454" t="s">
        <v>9</v>
      </c>
      <c r="B454" t="s">
        <v>476</v>
      </c>
      <c r="C454" t="s">
        <v>25</v>
      </c>
      <c r="D454" t="s">
        <v>26</v>
      </c>
      <c r="E454" t="s">
        <v>18</v>
      </c>
      <c r="F454" t="s">
        <v>22</v>
      </c>
      <c r="G454" s="1">
        <v>4901</v>
      </c>
      <c r="H454">
        <v>10</v>
      </c>
      <c r="I454" s="1">
        <f>supermarket_sales_new[[#This Row],[Unit price]]*supermarket_sales_new[[#This Row],[Quantity]]*5%</f>
        <v>2450.5</v>
      </c>
      <c r="J454" s="1">
        <f>(supermarket_sales_new[[#This Row],[Unit price]]*supermarket_sales_new[[#This Row],[Quantity]])+supermarket_sales_new[[#This Row],[Tax 5%]]</f>
        <v>51460.5</v>
      </c>
    </row>
    <row r="455" spans="1:10" x14ac:dyDescent="0.35">
      <c r="A455" t="s">
        <v>9</v>
      </c>
      <c r="B455" t="s">
        <v>477</v>
      </c>
      <c r="C455" t="s">
        <v>25</v>
      </c>
      <c r="D455" t="s">
        <v>26</v>
      </c>
      <c r="E455" t="s">
        <v>13</v>
      </c>
      <c r="F455" t="s">
        <v>27</v>
      </c>
      <c r="G455" s="1">
        <v>2915</v>
      </c>
      <c r="H455">
        <v>3</v>
      </c>
      <c r="I455" s="1">
        <f>supermarket_sales_new[[#This Row],[Unit price]]*supermarket_sales_new[[#This Row],[Quantity]]*5%</f>
        <v>437.25</v>
      </c>
      <c r="J455" s="1">
        <f>(supermarket_sales_new[[#This Row],[Unit price]]*supermarket_sales_new[[#This Row],[Quantity]])+supermarket_sales_new[[#This Row],[Tax 5%]]</f>
        <v>9182.25</v>
      </c>
    </row>
    <row r="456" spans="1:10" x14ac:dyDescent="0.35">
      <c r="A456" t="s">
        <v>9</v>
      </c>
      <c r="B456" t="s">
        <v>478</v>
      </c>
      <c r="C456" t="s">
        <v>16</v>
      </c>
      <c r="D456" t="s">
        <v>17</v>
      </c>
      <c r="E456" t="s">
        <v>18</v>
      </c>
      <c r="F456" t="s">
        <v>19</v>
      </c>
      <c r="G456" s="1">
        <v>5613</v>
      </c>
      <c r="H456">
        <v>4</v>
      </c>
      <c r="I456" s="1">
        <f>supermarket_sales_new[[#This Row],[Unit price]]*supermarket_sales_new[[#This Row],[Quantity]]*5%</f>
        <v>1122.6000000000001</v>
      </c>
      <c r="J456" s="1">
        <f>(supermarket_sales_new[[#This Row],[Unit price]]*supermarket_sales_new[[#This Row],[Quantity]])+supermarket_sales_new[[#This Row],[Tax 5%]]</f>
        <v>23574.6</v>
      </c>
    </row>
    <row r="457" spans="1:10" x14ac:dyDescent="0.35">
      <c r="A457" t="s">
        <v>9</v>
      </c>
      <c r="B457" t="s">
        <v>479</v>
      </c>
      <c r="C457" t="s">
        <v>11</v>
      </c>
      <c r="D457" t="s">
        <v>12</v>
      </c>
      <c r="E457" t="s">
        <v>18</v>
      </c>
      <c r="F457" t="s">
        <v>22</v>
      </c>
      <c r="G457" s="1">
        <v>9312</v>
      </c>
      <c r="H457">
        <v>8</v>
      </c>
      <c r="I457" s="1">
        <f>supermarket_sales_new[[#This Row],[Unit price]]*supermarket_sales_new[[#This Row],[Quantity]]*5%</f>
        <v>3724.8</v>
      </c>
      <c r="J457" s="1">
        <f>(supermarket_sales_new[[#This Row],[Unit price]]*supermarket_sales_new[[#This Row],[Quantity]])+supermarket_sales_new[[#This Row],[Tax 5%]]</f>
        <v>78220.800000000003</v>
      </c>
    </row>
    <row r="458" spans="1:10" x14ac:dyDescent="0.35">
      <c r="A458" t="s">
        <v>9</v>
      </c>
      <c r="B458" t="s">
        <v>480</v>
      </c>
      <c r="C458" t="s">
        <v>11</v>
      </c>
      <c r="D458" t="s">
        <v>12</v>
      </c>
      <c r="E458" t="s">
        <v>13</v>
      </c>
      <c r="F458" t="s">
        <v>27</v>
      </c>
      <c r="G458" s="1">
        <v>996</v>
      </c>
      <c r="H458">
        <v>3</v>
      </c>
      <c r="I458" s="1">
        <f>supermarket_sales_new[[#This Row],[Unit price]]*supermarket_sales_new[[#This Row],[Quantity]]*5%</f>
        <v>149.4</v>
      </c>
      <c r="J458" s="1">
        <f>(supermarket_sales_new[[#This Row],[Unit price]]*supermarket_sales_new[[#This Row],[Quantity]])+supermarket_sales_new[[#This Row],[Tax 5%]]</f>
        <v>3137.4</v>
      </c>
    </row>
    <row r="459" spans="1:10" x14ac:dyDescent="0.35">
      <c r="A459" t="s">
        <v>9</v>
      </c>
      <c r="B459" t="s">
        <v>481</v>
      </c>
      <c r="C459" t="s">
        <v>16</v>
      </c>
      <c r="D459" t="s">
        <v>17</v>
      </c>
      <c r="E459" t="s">
        <v>18</v>
      </c>
      <c r="F459" t="s">
        <v>19</v>
      </c>
      <c r="G459" s="1">
        <v>3549</v>
      </c>
      <c r="H459">
        <v>6</v>
      </c>
      <c r="I459" s="1">
        <f>supermarket_sales_new[[#This Row],[Unit price]]*supermarket_sales_new[[#This Row],[Quantity]]*5%</f>
        <v>1064.7</v>
      </c>
      <c r="J459" s="1">
        <f>(supermarket_sales_new[[#This Row],[Unit price]]*supermarket_sales_new[[#This Row],[Quantity]])+supermarket_sales_new[[#This Row],[Tax 5%]]</f>
        <v>22358.7</v>
      </c>
    </row>
    <row r="460" spans="1:10" x14ac:dyDescent="0.35">
      <c r="A460" t="s">
        <v>9</v>
      </c>
      <c r="B460" t="s">
        <v>482</v>
      </c>
      <c r="C460" t="s">
        <v>11</v>
      </c>
      <c r="D460" t="s">
        <v>12</v>
      </c>
      <c r="E460" t="s">
        <v>18</v>
      </c>
      <c r="F460" t="s">
        <v>29</v>
      </c>
      <c r="G460" s="1">
        <v>9467</v>
      </c>
      <c r="H460">
        <v>4</v>
      </c>
      <c r="I460" s="1">
        <f>supermarket_sales_new[[#This Row],[Unit price]]*supermarket_sales_new[[#This Row],[Quantity]]*5%</f>
        <v>1893.4</v>
      </c>
      <c r="J460" s="1">
        <f>(supermarket_sales_new[[#This Row],[Unit price]]*supermarket_sales_new[[#This Row],[Quantity]])+supermarket_sales_new[[#This Row],[Tax 5%]]</f>
        <v>39761.4</v>
      </c>
    </row>
    <row r="461" spans="1:10" x14ac:dyDescent="0.35">
      <c r="A461" t="s">
        <v>9</v>
      </c>
      <c r="B461" t="s">
        <v>483</v>
      </c>
      <c r="C461" t="s">
        <v>25</v>
      </c>
      <c r="D461" t="s">
        <v>26</v>
      </c>
      <c r="E461" t="s">
        <v>13</v>
      </c>
      <c r="F461" t="s">
        <v>19</v>
      </c>
      <c r="G461" s="1">
        <v>2626</v>
      </c>
      <c r="H461">
        <v>3</v>
      </c>
      <c r="I461" s="1">
        <f>supermarket_sales_new[[#This Row],[Unit price]]*supermarket_sales_new[[#This Row],[Quantity]]*5%</f>
        <v>393.90000000000003</v>
      </c>
      <c r="J461" s="1">
        <f>(supermarket_sales_new[[#This Row],[Unit price]]*supermarket_sales_new[[#This Row],[Quantity]])+supermarket_sales_new[[#This Row],[Tax 5%]]</f>
        <v>8271.9</v>
      </c>
    </row>
    <row r="462" spans="1:10" x14ac:dyDescent="0.35">
      <c r="A462" t="s">
        <v>9</v>
      </c>
      <c r="B462" t="s">
        <v>484</v>
      </c>
      <c r="C462" t="s">
        <v>16</v>
      </c>
      <c r="D462" t="s">
        <v>17</v>
      </c>
      <c r="E462" t="s">
        <v>13</v>
      </c>
      <c r="F462" t="s">
        <v>22</v>
      </c>
      <c r="G462" s="1">
        <v>3579</v>
      </c>
      <c r="H462">
        <v>9</v>
      </c>
      <c r="I462" s="1">
        <f>supermarket_sales_new[[#This Row],[Unit price]]*supermarket_sales_new[[#This Row],[Quantity]]*5%</f>
        <v>1610.5500000000002</v>
      </c>
      <c r="J462" s="1">
        <f>(supermarket_sales_new[[#This Row],[Unit price]]*supermarket_sales_new[[#This Row],[Quantity]])+supermarket_sales_new[[#This Row],[Tax 5%]]</f>
        <v>33821.550000000003</v>
      </c>
    </row>
    <row r="463" spans="1:10" x14ac:dyDescent="0.35">
      <c r="A463" t="s">
        <v>9</v>
      </c>
      <c r="B463" t="s">
        <v>485</v>
      </c>
      <c r="C463" t="s">
        <v>25</v>
      </c>
      <c r="D463" t="s">
        <v>26</v>
      </c>
      <c r="E463" t="s">
        <v>18</v>
      </c>
      <c r="F463" t="s">
        <v>22</v>
      </c>
      <c r="G463" s="1">
        <v>1637</v>
      </c>
      <c r="H463">
        <v>6</v>
      </c>
      <c r="I463" s="1">
        <f>supermarket_sales_new[[#This Row],[Unit price]]*supermarket_sales_new[[#This Row],[Quantity]]*5%</f>
        <v>491.1</v>
      </c>
      <c r="J463" s="1">
        <f>(supermarket_sales_new[[#This Row],[Unit price]]*supermarket_sales_new[[#This Row],[Quantity]])+supermarket_sales_new[[#This Row],[Tax 5%]]</f>
        <v>10313.1</v>
      </c>
    </row>
    <row r="464" spans="1:10" x14ac:dyDescent="0.35">
      <c r="A464" t="s">
        <v>9</v>
      </c>
      <c r="B464" t="s">
        <v>486</v>
      </c>
      <c r="C464" t="s">
        <v>16</v>
      </c>
      <c r="D464" t="s">
        <v>17</v>
      </c>
      <c r="E464" t="s">
        <v>13</v>
      </c>
      <c r="F464" t="s">
        <v>22</v>
      </c>
      <c r="G464" s="1">
        <v>1273</v>
      </c>
      <c r="H464">
        <v>2</v>
      </c>
      <c r="I464" s="1">
        <f>supermarket_sales_new[[#This Row],[Unit price]]*supermarket_sales_new[[#This Row],[Quantity]]*5%</f>
        <v>127.30000000000001</v>
      </c>
      <c r="J464" s="1">
        <f>(supermarket_sales_new[[#This Row],[Unit price]]*supermarket_sales_new[[#This Row],[Quantity]])+supermarket_sales_new[[#This Row],[Tax 5%]]</f>
        <v>2673.3</v>
      </c>
    </row>
    <row r="465" spans="1:10" x14ac:dyDescent="0.35">
      <c r="A465" t="s">
        <v>9</v>
      </c>
      <c r="B465" t="s">
        <v>487</v>
      </c>
      <c r="C465" t="s">
        <v>16</v>
      </c>
      <c r="D465" t="s">
        <v>17</v>
      </c>
      <c r="E465" t="s">
        <v>18</v>
      </c>
      <c r="F465" t="s">
        <v>33</v>
      </c>
      <c r="G465" s="1">
        <v>8314</v>
      </c>
      <c r="H465">
        <v>7</v>
      </c>
      <c r="I465" s="1">
        <f>supermarket_sales_new[[#This Row],[Unit price]]*supermarket_sales_new[[#This Row],[Quantity]]*5%</f>
        <v>2909.9</v>
      </c>
      <c r="J465" s="1">
        <f>(supermarket_sales_new[[#This Row],[Unit price]]*supermarket_sales_new[[#This Row],[Quantity]])+supermarket_sales_new[[#This Row],[Tax 5%]]</f>
        <v>61107.9</v>
      </c>
    </row>
    <row r="466" spans="1:10" x14ac:dyDescent="0.35">
      <c r="A466" t="s">
        <v>9</v>
      </c>
      <c r="B466" t="s">
        <v>488</v>
      </c>
      <c r="C466" t="s">
        <v>16</v>
      </c>
      <c r="D466" t="s">
        <v>17</v>
      </c>
      <c r="E466" t="s">
        <v>13</v>
      </c>
      <c r="F466" t="s">
        <v>33</v>
      </c>
      <c r="G466" s="1">
        <v>3522</v>
      </c>
      <c r="H466">
        <v>6</v>
      </c>
      <c r="I466" s="1">
        <f>supermarket_sales_new[[#This Row],[Unit price]]*supermarket_sales_new[[#This Row],[Quantity]]*5%</f>
        <v>1056.6000000000001</v>
      </c>
      <c r="J466" s="1">
        <f>(supermarket_sales_new[[#This Row],[Unit price]]*supermarket_sales_new[[#This Row],[Quantity]])+supermarket_sales_new[[#This Row],[Tax 5%]]</f>
        <v>22188.6</v>
      </c>
    </row>
    <row r="467" spans="1:10" x14ac:dyDescent="0.35">
      <c r="A467" t="s">
        <v>9</v>
      </c>
      <c r="B467" t="s">
        <v>489</v>
      </c>
      <c r="C467" t="s">
        <v>25</v>
      </c>
      <c r="D467" t="s">
        <v>26</v>
      </c>
      <c r="E467" t="s">
        <v>18</v>
      </c>
      <c r="F467" t="s">
        <v>19</v>
      </c>
      <c r="G467" s="1">
        <v>1378</v>
      </c>
      <c r="H467">
        <v>4</v>
      </c>
      <c r="I467" s="1">
        <f>supermarket_sales_new[[#This Row],[Unit price]]*supermarket_sales_new[[#This Row],[Quantity]]*5%</f>
        <v>275.60000000000002</v>
      </c>
      <c r="J467" s="1">
        <f>(supermarket_sales_new[[#This Row],[Unit price]]*supermarket_sales_new[[#This Row],[Quantity]])+supermarket_sales_new[[#This Row],[Tax 5%]]</f>
        <v>5787.6</v>
      </c>
    </row>
    <row r="468" spans="1:10" x14ac:dyDescent="0.35">
      <c r="A468" t="s">
        <v>9</v>
      </c>
      <c r="B468" t="s">
        <v>490</v>
      </c>
      <c r="C468" t="s">
        <v>11</v>
      </c>
      <c r="D468" t="s">
        <v>12</v>
      </c>
      <c r="E468" t="s">
        <v>13</v>
      </c>
      <c r="F468" t="s">
        <v>14</v>
      </c>
      <c r="G468" s="1">
        <v>3962</v>
      </c>
      <c r="H468">
        <v>9</v>
      </c>
      <c r="I468" s="1">
        <f>supermarket_sales_new[[#This Row],[Unit price]]*supermarket_sales_new[[#This Row],[Quantity]]*5%</f>
        <v>1782.9</v>
      </c>
      <c r="J468" s="1">
        <f>(supermarket_sales_new[[#This Row],[Unit price]]*supermarket_sales_new[[#This Row],[Quantity]])+supermarket_sales_new[[#This Row],[Tax 5%]]</f>
        <v>37440.9</v>
      </c>
    </row>
    <row r="469" spans="1:10" x14ac:dyDescent="0.35">
      <c r="A469" t="s">
        <v>9</v>
      </c>
      <c r="B469" t="s">
        <v>491</v>
      </c>
      <c r="C469" t="s">
        <v>25</v>
      </c>
      <c r="D469" t="s">
        <v>26</v>
      </c>
      <c r="E469" t="s">
        <v>18</v>
      </c>
      <c r="F469" t="s">
        <v>19</v>
      </c>
      <c r="G469" s="1">
        <v>8825</v>
      </c>
      <c r="H469">
        <v>9</v>
      </c>
      <c r="I469" s="1">
        <f>supermarket_sales_new[[#This Row],[Unit price]]*supermarket_sales_new[[#This Row],[Quantity]]*5%</f>
        <v>3971.25</v>
      </c>
      <c r="J469" s="1">
        <f>(supermarket_sales_new[[#This Row],[Unit price]]*supermarket_sales_new[[#This Row],[Quantity]])+supermarket_sales_new[[#This Row],[Tax 5%]]</f>
        <v>83396.25</v>
      </c>
    </row>
    <row r="470" spans="1:10" x14ac:dyDescent="0.35">
      <c r="A470" t="s">
        <v>9</v>
      </c>
      <c r="B470" t="s">
        <v>492</v>
      </c>
      <c r="C470" t="s">
        <v>16</v>
      </c>
      <c r="D470" t="s">
        <v>17</v>
      </c>
      <c r="E470" t="s">
        <v>13</v>
      </c>
      <c r="F470" t="s">
        <v>29</v>
      </c>
      <c r="G470" s="1">
        <v>8335</v>
      </c>
      <c r="H470">
        <v>2</v>
      </c>
      <c r="I470" s="1">
        <f>supermarket_sales_new[[#This Row],[Unit price]]*supermarket_sales_new[[#This Row],[Quantity]]*5%</f>
        <v>833.5</v>
      </c>
      <c r="J470" s="1">
        <f>(supermarket_sales_new[[#This Row],[Unit price]]*supermarket_sales_new[[#This Row],[Quantity]])+supermarket_sales_new[[#This Row],[Tax 5%]]</f>
        <v>17503.5</v>
      </c>
    </row>
    <row r="471" spans="1:10" x14ac:dyDescent="0.35">
      <c r="A471" t="s">
        <v>9</v>
      </c>
      <c r="B471" t="s">
        <v>493</v>
      </c>
      <c r="C471" t="s">
        <v>11</v>
      </c>
      <c r="D471" t="s">
        <v>12</v>
      </c>
      <c r="E471" t="s">
        <v>18</v>
      </c>
      <c r="F471" t="s">
        <v>27</v>
      </c>
      <c r="G471" s="1">
        <v>7444</v>
      </c>
      <c r="H471">
        <v>10</v>
      </c>
      <c r="I471" s="1">
        <f>supermarket_sales_new[[#This Row],[Unit price]]*supermarket_sales_new[[#This Row],[Quantity]]*5%</f>
        <v>3722</v>
      </c>
      <c r="J471" s="1">
        <f>(supermarket_sales_new[[#This Row],[Unit price]]*supermarket_sales_new[[#This Row],[Quantity]])+supermarket_sales_new[[#This Row],[Tax 5%]]</f>
        <v>78162</v>
      </c>
    </row>
    <row r="472" spans="1:10" x14ac:dyDescent="0.35">
      <c r="A472" t="s">
        <v>9</v>
      </c>
      <c r="B472" t="s">
        <v>494</v>
      </c>
      <c r="C472" t="s">
        <v>25</v>
      </c>
      <c r="D472" t="s">
        <v>26</v>
      </c>
      <c r="E472" t="s">
        <v>18</v>
      </c>
      <c r="F472" t="s">
        <v>22</v>
      </c>
      <c r="G472" s="1">
        <v>6315</v>
      </c>
      <c r="H472">
        <v>6</v>
      </c>
      <c r="I472" s="1">
        <f>supermarket_sales_new[[#This Row],[Unit price]]*supermarket_sales_new[[#This Row],[Quantity]]*5%</f>
        <v>1894.5</v>
      </c>
      <c r="J472" s="1">
        <f>(supermarket_sales_new[[#This Row],[Unit price]]*supermarket_sales_new[[#This Row],[Quantity]])+supermarket_sales_new[[#This Row],[Tax 5%]]</f>
        <v>39784.5</v>
      </c>
    </row>
    <row r="473" spans="1:10" x14ac:dyDescent="0.35">
      <c r="A473" t="s">
        <v>9</v>
      </c>
      <c r="B473" t="s">
        <v>495</v>
      </c>
      <c r="C473" t="s">
        <v>16</v>
      </c>
      <c r="D473" t="s">
        <v>17</v>
      </c>
      <c r="E473" t="s">
        <v>18</v>
      </c>
      <c r="F473" t="s">
        <v>14</v>
      </c>
      <c r="G473" s="1">
        <v>7889</v>
      </c>
      <c r="H473">
        <v>7</v>
      </c>
      <c r="I473" s="1">
        <f>supermarket_sales_new[[#This Row],[Unit price]]*supermarket_sales_new[[#This Row],[Quantity]]*5%</f>
        <v>2761.15</v>
      </c>
      <c r="J473" s="1">
        <f>(supermarket_sales_new[[#This Row],[Unit price]]*supermarket_sales_new[[#This Row],[Quantity]])+supermarket_sales_new[[#This Row],[Tax 5%]]</f>
        <v>57984.15</v>
      </c>
    </row>
    <row r="474" spans="1:10" x14ac:dyDescent="0.35">
      <c r="A474" t="s">
        <v>9</v>
      </c>
      <c r="B474" t="s">
        <v>496</v>
      </c>
      <c r="C474" t="s">
        <v>11</v>
      </c>
      <c r="D474" t="s">
        <v>12</v>
      </c>
      <c r="E474" t="s">
        <v>18</v>
      </c>
      <c r="F474" t="s">
        <v>33</v>
      </c>
      <c r="G474" s="1">
        <v>8948</v>
      </c>
      <c r="H474">
        <v>5</v>
      </c>
      <c r="I474" s="1">
        <f>supermarket_sales_new[[#This Row],[Unit price]]*supermarket_sales_new[[#This Row],[Quantity]]*5%</f>
        <v>2237</v>
      </c>
      <c r="J474" s="1">
        <f>(supermarket_sales_new[[#This Row],[Unit price]]*supermarket_sales_new[[#This Row],[Quantity]])+supermarket_sales_new[[#This Row],[Tax 5%]]</f>
        <v>46977</v>
      </c>
    </row>
    <row r="475" spans="1:10" x14ac:dyDescent="0.35">
      <c r="A475" t="s">
        <v>9</v>
      </c>
      <c r="B475" t="s">
        <v>497</v>
      </c>
      <c r="C475" t="s">
        <v>11</v>
      </c>
      <c r="D475" t="s">
        <v>12</v>
      </c>
      <c r="E475" t="s">
        <v>13</v>
      </c>
      <c r="F475" t="s">
        <v>14</v>
      </c>
      <c r="G475" s="1">
        <v>9209</v>
      </c>
      <c r="H475">
        <v>3</v>
      </c>
      <c r="I475" s="1">
        <f>supermarket_sales_new[[#This Row],[Unit price]]*supermarket_sales_new[[#This Row],[Quantity]]*5%</f>
        <v>1381.3500000000001</v>
      </c>
      <c r="J475" s="1">
        <f>(supermarket_sales_new[[#This Row],[Unit price]]*supermarket_sales_new[[#This Row],[Quantity]])+supermarket_sales_new[[#This Row],[Tax 5%]]</f>
        <v>29008.35</v>
      </c>
    </row>
    <row r="476" spans="1:10" x14ac:dyDescent="0.35">
      <c r="A476" t="s">
        <v>9</v>
      </c>
      <c r="B476" t="s">
        <v>498</v>
      </c>
      <c r="C476" t="s">
        <v>16</v>
      </c>
      <c r="D476" t="s">
        <v>17</v>
      </c>
      <c r="E476" t="s">
        <v>18</v>
      </c>
      <c r="F476" t="s">
        <v>27</v>
      </c>
      <c r="G476" s="1">
        <v>5729</v>
      </c>
      <c r="H476">
        <v>6</v>
      </c>
      <c r="I476" s="1">
        <f>supermarket_sales_new[[#This Row],[Unit price]]*supermarket_sales_new[[#This Row],[Quantity]]*5%</f>
        <v>1718.7</v>
      </c>
      <c r="J476" s="1">
        <f>(supermarket_sales_new[[#This Row],[Unit price]]*supermarket_sales_new[[#This Row],[Quantity]])+supermarket_sales_new[[#This Row],[Tax 5%]]</f>
        <v>36092.699999999997</v>
      </c>
    </row>
    <row r="477" spans="1:10" x14ac:dyDescent="0.35">
      <c r="A477" t="s">
        <v>9</v>
      </c>
      <c r="B477" t="s">
        <v>499</v>
      </c>
      <c r="C477" t="s">
        <v>11</v>
      </c>
      <c r="D477" t="s">
        <v>12</v>
      </c>
      <c r="E477" t="s">
        <v>18</v>
      </c>
      <c r="F477" t="s">
        <v>22</v>
      </c>
      <c r="G477" s="1">
        <v>4568</v>
      </c>
      <c r="H477">
        <v>10</v>
      </c>
      <c r="I477" s="1">
        <f>supermarket_sales_new[[#This Row],[Unit price]]*supermarket_sales_new[[#This Row],[Quantity]]*5%</f>
        <v>2284</v>
      </c>
      <c r="J477" s="1">
        <f>(supermarket_sales_new[[#This Row],[Unit price]]*supermarket_sales_new[[#This Row],[Quantity]])+supermarket_sales_new[[#This Row],[Tax 5%]]</f>
        <v>47964</v>
      </c>
    </row>
    <row r="478" spans="1:10" x14ac:dyDescent="0.35">
      <c r="A478" t="s">
        <v>9</v>
      </c>
      <c r="B478" t="s">
        <v>500</v>
      </c>
      <c r="C478" t="s">
        <v>11</v>
      </c>
      <c r="D478" t="s">
        <v>12</v>
      </c>
      <c r="E478" t="s">
        <v>18</v>
      </c>
      <c r="F478" t="s">
        <v>19</v>
      </c>
      <c r="G478" s="1">
        <v>9388</v>
      </c>
      <c r="H478">
        <v>7</v>
      </c>
      <c r="I478" s="1">
        <f>supermarket_sales_new[[#This Row],[Unit price]]*supermarket_sales_new[[#This Row],[Quantity]]*5%</f>
        <v>3285.8</v>
      </c>
      <c r="J478" s="1">
        <f>(supermarket_sales_new[[#This Row],[Unit price]]*supermarket_sales_new[[#This Row],[Quantity]])+supermarket_sales_new[[#This Row],[Tax 5%]]</f>
        <v>69001.8</v>
      </c>
    </row>
    <row r="479" spans="1:10" x14ac:dyDescent="0.35">
      <c r="A479" t="s">
        <v>9</v>
      </c>
      <c r="B479" t="s">
        <v>501</v>
      </c>
      <c r="C479" t="s">
        <v>25</v>
      </c>
      <c r="D479" t="s">
        <v>26</v>
      </c>
      <c r="E479" t="s">
        <v>18</v>
      </c>
      <c r="F479" t="s">
        <v>27</v>
      </c>
      <c r="G479" s="1">
        <v>2643</v>
      </c>
      <c r="H479">
        <v>8</v>
      </c>
      <c r="I479" s="1">
        <f>supermarket_sales_new[[#This Row],[Unit price]]*supermarket_sales_new[[#This Row],[Quantity]]*5%</f>
        <v>1057.2</v>
      </c>
      <c r="J479" s="1">
        <f>(supermarket_sales_new[[#This Row],[Unit price]]*supermarket_sales_new[[#This Row],[Quantity]])+supermarket_sales_new[[#This Row],[Tax 5%]]</f>
        <v>22201.200000000001</v>
      </c>
    </row>
    <row r="480" spans="1:10" x14ac:dyDescent="0.35">
      <c r="A480" t="s">
        <v>9</v>
      </c>
      <c r="B480" t="s">
        <v>502</v>
      </c>
      <c r="C480" t="s">
        <v>25</v>
      </c>
      <c r="D480" t="s">
        <v>26</v>
      </c>
      <c r="E480" t="s">
        <v>13</v>
      </c>
      <c r="F480" t="s">
        <v>22</v>
      </c>
      <c r="G480" s="1">
        <v>219</v>
      </c>
      <c r="H480">
        <v>3</v>
      </c>
      <c r="I480" s="1">
        <f>supermarket_sales_new[[#This Row],[Unit price]]*supermarket_sales_new[[#This Row],[Quantity]]*5%</f>
        <v>32.85</v>
      </c>
      <c r="J480" s="1">
        <f>(supermarket_sales_new[[#This Row],[Unit price]]*supermarket_sales_new[[#This Row],[Quantity]])+supermarket_sales_new[[#This Row],[Tax 5%]]</f>
        <v>689.85</v>
      </c>
    </row>
    <row r="481" spans="1:10" x14ac:dyDescent="0.35">
      <c r="A481" t="s">
        <v>9</v>
      </c>
      <c r="B481" t="s">
        <v>503</v>
      </c>
      <c r="C481" t="s">
        <v>25</v>
      </c>
      <c r="D481" t="s">
        <v>26</v>
      </c>
      <c r="E481" t="s">
        <v>13</v>
      </c>
      <c r="F481" t="s">
        <v>27</v>
      </c>
      <c r="G481" s="1">
        <v>6285</v>
      </c>
      <c r="H481">
        <v>4</v>
      </c>
      <c r="I481" s="1">
        <f>supermarket_sales_new[[#This Row],[Unit price]]*supermarket_sales_new[[#This Row],[Quantity]]*5%</f>
        <v>1257</v>
      </c>
      <c r="J481" s="1">
        <f>(supermarket_sales_new[[#This Row],[Unit price]]*supermarket_sales_new[[#This Row],[Quantity]])+supermarket_sales_new[[#This Row],[Tax 5%]]</f>
        <v>26397</v>
      </c>
    </row>
    <row r="482" spans="1:10" x14ac:dyDescent="0.35">
      <c r="A482" t="s">
        <v>9</v>
      </c>
      <c r="B482" t="s">
        <v>504</v>
      </c>
      <c r="C482" t="s">
        <v>16</v>
      </c>
      <c r="D482" t="s">
        <v>17</v>
      </c>
      <c r="E482" t="s">
        <v>13</v>
      </c>
      <c r="F482" t="s">
        <v>27</v>
      </c>
      <c r="G482" s="1">
        <v>2104</v>
      </c>
      <c r="H482">
        <v>4</v>
      </c>
      <c r="I482" s="1">
        <f>supermarket_sales_new[[#This Row],[Unit price]]*supermarket_sales_new[[#This Row],[Quantity]]*5%</f>
        <v>420.8</v>
      </c>
      <c r="J482" s="1">
        <f>(supermarket_sales_new[[#This Row],[Unit price]]*supermarket_sales_new[[#This Row],[Quantity]])+supermarket_sales_new[[#This Row],[Tax 5%]]</f>
        <v>8836.7999999999993</v>
      </c>
    </row>
    <row r="483" spans="1:10" x14ac:dyDescent="0.35">
      <c r="A483" t="s">
        <v>9</v>
      </c>
      <c r="B483" t="s">
        <v>505</v>
      </c>
      <c r="C483" t="s">
        <v>11</v>
      </c>
      <c r="D483" t="s">
        <v>12</v>
      </c>
      <c r="E483" t="s">
        <v>18</v>
      </c>
      <c r="F483" t="s">
        <v>29</v>
      </c>
      <c r="G483" s="1">
        <v>4257</v>
      </c>
      <c r="H483">
        <v>7</v>
      </c>
      <c r="I483" s="1">
        <f>supermarket_sales_new[[#This Row],[Unit price]]*supermarket_sales_new[[#This Row],[Quantity]]*5%</f>
        <v>1489.95</v>
      </c>
      <c r="J483" s="1">
        <f>(supermarket_sales_new[[#This Row],[Unit price]]*supermarket_sales_new[[#This Row],[Quantity]])+supermarket_sales_new[[#This Row],[Tax 5%]]</f>
        <v>31288.95</v>
      </c>
    </row>
    <row r="484" spans="1:10" x14ac:dyDescent="0.35">
      <c r="A484" t="s">
        <v>9</v>
      </c>
      <c r="B484" t="s">
        <v>506</v>
      </c>
      <c r="C484" t="s">
        <v>16</v>
      </c>
      <c r="D484" t="s">
        <v>17</v>
      </c>
      <c r="E484" t="s">
        <v>18</v>
      </c>
      <c r="F484" t="s">
        <v>22</v>
      </c>
      <c r="G484" s="1">
        <v>158</v>
      </c>
      <c r="H484">
        <v>10</v>
      </c>
      <c r="I484" s="1">
        <f>supermarket_sales_new[[#This Row],[Unit price]]*supermarket_sales_new[[#This Row],[Quantity]]*5%</f>
        <v>79</v>
      </c>
      <c r="J484" s="1">
        <f>(supermarket_sales_new[[#This Row],[Unit price]]*supermarket_sales_new[[#This Row],[Quantity]])+supermarket_sales_new[[#This Row],[Tax 5%]]</f>
        <v>1659</v>
      </c>
    </row>
    <row r="485" spans="1:10" x14ac:dyDescent="0.35">
      <c r="A485" t="s">
        <v>9</v>
      </c>
      <c r="B485" t="s">
        <v>507</v>
      </c>
      <c r="C485" t="s">
        <v>11</v>
      </c>
      <c r="D485" t="s">
        <v>12</v>
      </c>
      <c r="E485" t="s">
        <v>13</v>
      </c>
      <c r="F485" t="s">
        <v>27</v>
      </c>
      <c r="G485" s="1">
        <v>9866</v>
      </c>
      <c r="H485">
        <v>9</v>
      </c>
      <c r="I485" s="1">
        <f>supermarket_sales_new[[#This Row],[Unit price]]*supermarket_sales_new[[#This Row],[Quantity]]*5%</f>
        <v>4439.7</v>
      </c>
      <c r="J485" s="1">
        <f>(supermarket_sales_new[[#This Row],[Unit price]]*supermarket_sales_new[[#This Row],[Quantity]])+supermarket_sales_new[[#This Row],[Tax 5%]]</f>
        <v>93233.7</v>
      </c>
    </row>
    <row r="486" spans="1:10" x14ac:dyDescent="0.35">
      <c r="A486" t="s">
        <v>9</v>
      </c>
      <c r="B486" t="s">
        <v>508</v>
      </c>
      <c r="C486" t="s">
        <v>11</v>
      </c>
      <c r="D486" t="s">
        <v>12</v>
      </c>
      <c r="E486" t="s">
        <v>18</v>
      </c>
      <c r="F486" t="s">
        <v>29</v>
      </c>
      <c r="G486" s="1">
        <v>155</v>
      </c>
      <c r="H486">
        <v>1</v>
      </c>
      <c r="I486" s="1">
        <f>supermarket_sales_new[[#This Row],[Unit price]]*supermarket_sales_new[[#This Row],[Quantity]]*5%</f>
        <v>7.75</v>
      </c>
      <c r="J486" s="1">
        <f>(supermarket_sales_new[[#This Row],[Unit price]]*supermarket_sales_new[[#This Row],[Quantity]])+supermarket_sales_new[[#This Row],[Tax 5%]]</f>
        <v>162.75</v>
      </c>
    </row>
    <row r="487" spans="1:10" x14ac:dyDescent="0.35">
      <c r="A487" t="s">
        <v>9</v>
      </c>
      <c r="B487" t="s">
        <v>509</v>
      </c>
      <c r="C487" t="s">
        <v>25</v>
      </c>
      <c r="D487" t="s">
        <v>26</v>
      </c>
      <c r="E487" t="s">
        <v>18</v>
      </c>
      <c r="F487" t="s">
        <v>19</v>
      </c>
      <c r="G487" s="1">
        <v>3827</v>
      </c>
      <c r="H487">
        <v>2</v>
      </c>
      <c r="I487" s="1">
        <f>supermarket_sales_new[[#This Row],[Unit price]]*supermarket_sales_new[[#This Row],[Quantity]]*5%</f>
        <v>382.70000000000005</v>
      </c>
      <c r="J487" s="1">
        <f>(supermarket_sales_new[[#This Row],[Unit price]]*supermarket_sales_new[[#This Row],[Quantity]])+supermarket_sales_new[[#This Row],[Tax 5%]]</f>
        <v>8036.7</v>
      </c>
    </row>
    <row r="488" spans="1:10" x14ac:dyDescent="0.35">
      <c r="A488" t="s">
        <v>9</v>
      </c>
      <c r="B488" t="s">
        <v>510</v>
      </c>
      <c r="C488" t="s">
        <v>11</v>
      </c>
      <c r="D488" t="s">
        <v>12</v>
      </c>
      <c r="E488" t="s">
        <v>18</v>
      </c>
      <c r="F488" t="s">
        <v>22</v>
      </c>
      <c r="G488" s="1">
        <v>333</v>
      </c>
      <c r="H488">
        <v>9</v>
      </c>
      <c r="I488" s="1">
        <f>supermarket_sales_new[[#This Row],[Unit price]]*supermarket_sales_new[[#This Row],[Quantity]]*5%</f>
        <v>149.85</v>
      </c>
      <c r="J488" s="1">
        <f>(supermarket_sales_new[[#This Row],[Unit price]]*supermarket_sales_new[[#This Row],[Quantity]])+supermarket_sales_new[[#This Row],[Tax 5%]]</f>
        <v>3146.85</v>
      </c>
    </row>
    <row r="489" spans="1:10" x14ac:dyDescent="0.35">
      <c r="A489" t="s">
        <v>9</v>
      </c>
      <c r="B489" t="s">
        <v>511</v>
      </c>
      <c r="C489" t="s">
        <v>11</v>
      </c>
      <c r="D489" t="s">
        <v>12</v>
      </c>
      <c r="E489" t="s">
        <v>18</v>
      </c>
      <c r="F489" t="s">
        <v>14</v>
      </c>
      <c r="G489" s="1">
        <v>158</v>
      </c>
      <c r="H489">
        <v>3</v>
      </c>
      <c r="I489" s="1">
        <f>supermarket_sales_new[[#This Row],[Unit price]]*supermarket_sales_new[[#This Row],[Quantity]]*5%</f>
        <v>23.700000000000003</v>
      </c>
      <c r="J489" s="1">
        <f>(supermarket_sales_new[[#This Row],[Unit price]]*supermarket_sales_new[[#This Row],[Quantity]])+supermarket_sales_new[[#This Row],[Tax 5%]]</f>
        <v>497.7</v>
      </c>
    </row>
    <row r="490" spans="1:10" x14ac:dyDescent="0.35">
      <c r="A490" t="s">
        <v>9</v>
      </c>
      <c r="B490" t="s">
        <v>512</v>
      </c>
      <c r="C490" t="s">
        <v>25</v>
      </c>
      <c r="D490" t="s">
        <v>26</v>
      </c>
      <c r="E490" t="s">
        <v>13</v>
      </c>
      <c r="F490" t="s">
        <v>19</v>
      </c>
      <c r="G490" s="1">
        <v>3449</v>
      </c>
      <c r="H490">
        <v>5</v>
      </c>
      <c r="I490" s="1">
        <f>supermarket_sales_new[[#This Row],[Unit price]]*supermarket_sales_new[[#This Row],[Quantity]]*5%</f>
        <v>862.25</v>
      </c>
      <c r="J490" s="1">
        <f>(supermarket_sales_new[[#This Row],[Unit price]]*supermarket_sales_new[[#This Row],[Quantity]])+supermarket_sales_new[[#This Row],[Tax 5%]]</f>
        <v>18107.25</v>
      </c>
    </row>
    <row r="491" spans="1:10" x14ac:dyDescent="0.35">
      <c r="A491" t="s">
        <v>9</v>
      </c>
      <c r="B491" t="s">
        <v>513</v>
      </c>
      <c r="C491" t="s">
        <v>25</v>
      </c>
      <c r="D491" t="s">
        <v>26</v>
      </c>
      <c r="E491" t="s">
        <v>13</v>
      </c>
      <c r="F491" t="s">
        <v>27</v>
      </c>
      <c r="G491" s="1">
        <v>8463</v>
      </c>
      <c r="H491">
        <v>10</v>
      </c>
      <c r="I491" s="1">
        <f>supermarket_sales_new[[#This Row],[Unit price]]*supermarket_sales_new[[#This Row],[Quantity]]*5%</f>
        <v>4231.5</v>
      </c>
      <c r="J491" s="1">
        <f>(supermarket_sales_new[[#This Row],[Unit price]]*supermarket_sales_new[[#This Row],[Quantity]])+supermarket_sales_new[[#This Row],[Tax 5%]]</f>
        <v>88861.5</v>
      </c>
    </row>
    <row r="492" spans="1:10" x14ac:dyDescent="0.35">
      <c r="A492" t="s">
        <v>9</v>
      </c>
      <c r="B492" t="s">
        <v>514</v>
      </c>
      <c r="C492" t="s">
        <v>11</v>
      </c>
      <c r="D492" t="s">
        <v>12</v>
      </c>
      <c r="E492" t="s">
        <v>18</v>
      </c>
      <c r="F492" t="s">
        <v>27</v>
      </c>
      <c r="G492" s="1">
        <v>7466</v>
      </c>
      <c r="H492">
        <v>4</v>
      </c>
      <c r="I492" s="1">
        <f>supermarket_sales_new[[#This Row],[Unit price]]*supermarket_sales_new[[#This Row],[Quantity]]*5%</f>
        <v>1493.2</v>
      </c>
      <c r="J492" s="1">
        <f>(supermarket_sales_new[[#This Row],[Unit price]]*supermarket_sales_new[[#This Row],[Quantity]])+supermarket_sales_new[[#This Row],[Tax 5%]]</f>
        <v>31357.200000000001</v>
      </c>
    </row>
    <row r="493" spans="1:10" x14ac:dyDescent="0.35">
      <c r="A493" t="s">
        <v>9</v>
      </c>
      <c r="B493" t="s">
        <v>515</v>
      </c>
      <c r="C493" t="s">
        <v>25</v>
      </c>
      <c r="D493" t="s">
        <v>26</v>
      </c>
      <c r="E493" t="s">
        <v>18</v>
      </c>
      <c r="F493" t="s">
        <v>19</v>
      </c>
      <c r="G493" s="1">
        <v>2545</v>
      </c>
      <c r="H493">
        <v>1</v>
      </c>
      <c r="I493" s="1">
        <f>supermarket_sales_new[[#This Row],[Unit price]]*supermarket_sales_new[[#This Row],[Quantity]]*5%</f>
        <v>127.25</v>
      </c>
      <c r="J493" s="1">
        <f>(supermarket_sales_new[[#This Row],[Unit price]]*supermarket_sales_new[[#This Row],[Quantity]])+supermarket_sales_new[[#This Row],[Tax 5%]]</f>
        <v>2672.25</v>
      </c>
    </row>
    <row r="494" spans="1:10" x14ac:dyDescent="0.35">
      <c r="A494" t="s">
        <v>9</v>
      </c>
      <c r="B494" t="s">
        <v>516</v>
      </c>
      <c r="C494" t="s">
        <v>25</v>
      </c>
      <c r="D494" t="s">
        <v>26</v>
      </c>
      <c r="E494" t="s">
        <v>18</v>
      </c>
      <c r="F494" t="s">
        <v>27</v>
      </c>
      <c r="G494" s="1">
        <v>6777</v>
      </c>
      <c r="H494">
        <v>1</v>
      </c>
      <c r="I494" s="1">
        <f>supermarket_sales_new[[#This Row],[Unit price]]*supermarket_sales_new[[#This Row],[Quantity]]*5%</f>
        <v>338.85</v>
      </c>
      <c r="J494" s="1">
        <f>(supermarket_sales_new[[#This Row],[Unit price]]*supermarket_sales_new[[#This Row],[Quantity]])+supermarket_sales_new[[#This Row],[Tax 5%]]</f>
        <v>7115.85</v>
      </c>
    </row>
    <row r="495" spans="1:10" x14ac:dyDescent="0.35">
      <c r="A495" t="s">
        <v>9</v>
      </c>
      <c r="B495" t="s">
        <v>517</v>
      </c>
      <c r="C495" t="s">
        <v>11</v>
      </c>
      <c r="D495" t="s">
        <v>12</v>
      </c>
      <c r="E495" t="s">
        <v>13</v>
      </c>
      <c r="F495" t="s">
        <v>33</v>
      </c>
      <c r="G495" s="1">
        <v>9748</v>
      </c>
      <c r="H495">
        <v>9</v>
      </c>
      <c r="I495" s="1">
        <f>supermarket_sales_new[[#This Row],[Unit price]]*supermarket_sales_new[[#This Row],[Quantity]]*5%</f>
        <v>4386.6000000000004</v>
      </c>
      <c r="J495" s="1">
        <f>(supermarket_sales_new[[#This Row],[Unit price]]*supermarket_sales_new[[#This Row],[Quantity]])+supermarket_sales_new[[#This Row],[Tax 5%]]</f>
        <v>92118.6</v>
      </c>
    </row>
    <row r="496" spans="1:10" x14ac:dyDescent="0.35">
      <c r="A496" t="s">
        <v>9</v>
      </c>
      <c r="B496" t="s">
        <v>518</v>
      </c>
      <c r="C496" t="s">
        <v>25</v>
      </c>
      <c r="D496" t="s">
        <v>26</v>
      </c>
      <c r="E496" t="s">
        <v>18</v>
      </c>
      <c r="F496" t="s">
        <v>29</v>
      </c>
      <c r="G496" s="1">
        <v>6371</v>
      </c>
      <c r="H496">
        <v>5</v>
      </c>
      <c r="I496" s="1">
        <f>supermarket_sales_new[[#This Row],[Unit price]]*supermarket_sales_new[[#This Row],[Quantity]]*5%</f>
        <v>1592.75</v>
      </c>
      <c r="J496" s="1">
        <f>(supermarket_sales_new[[#This Row],[Unit price]]*supermarket_sales_new[[#This Row],[Quantity]])+supermarket_sales_new[[#This Row],[Tax 5%]]</f>
        <v>33447.75</v>
      </c>
    </row>
    <row r="497" spans="1:10" x14ac:dyDescent="0.35">
      <c r="A497" t="s">
        <v>9</v>
      </c>
      <c r="B497" t="s">
        <v>519</v>
      </c>
      <c r="C497" t="s">
        <v>25</v>
      </c>
      <c r="D497" t="s">
        <v>26</v>
      </c>
      <c r="E497" t="s">
        <v>18</v>
      </c>
      <c r="F497" t="s">
        <v>14</v>
      </c>
      <c r="G497" s="1">
        <v>1476</v>
      </c>
      <c r="H497">
        <v>2</v>
      </c>
      <c r="I497" s="1">
        <f>supermarket_sales_new[[#This Row],[Unit price]]*supermarket_sales_new[[#This Row],[Quantity]]*5%</f>
        <v>147.6</v>
      </c>
      <c r="J497" s="1">
        <f>(supermarket_sales_new[[#This Row],[Unit price]]*supermarket_sales_new[[#This Row],[Quantity]])+supermarket_sales_new[[#This Row],[Tax 5%]]</f>
        <v>3099.6</v>
      </c>
    </row>
    <row r="498" spans="1:10" x14ac:dyDescent="0.35">
      <c r="A498" t="s">
        <v>9</v>
      </c>
      <c r="B498" t="s">
        <v>520</v>
      </c>
      <c r="C498" t="s">
        <v>11</v>
      </c>
      <c r="D498" t="s">
        <v>12</v>
      </c>
      <c r="E498" t="s">
        <v>18</v>
      </c>
      <c r="F498" t="s">
        <v>27</v>
      </c>
      <c r="G498" s="1">
        <v>5656</v>
      </c>
      <c r="H498">
        <v>5</v>
      </c>
      <c r="I498" s="1">
        <f>supermarket_sales_new[[#This Row],[Unit price]]*supermarket_sales_new[[#This Row],[Quantity]]*5%</f>
        <v>1414</v>
      </c>
      <c r="J498" s="1">
        <f>(supermarket_sales_new[[#This Row],[Unit price]]*supermarket_sales_new[[#This Row],[Quantity]])+supermarket_sales_new[[#This Row],[Tax 5%]]</f>
        <v>29694</v>
      </c>
    </row>
    <row r="499" spans="1:10" x14ac:dyDescent="0.35">
      <c r="A499" t="s">
        <v>9</v>
      </c>
      <c r="B499" t="s">
        <v>521</v>
      </c>
      <c r="C499" t="s">
        <v>25</v>
      </c>
      <c r="D499" t="s">
        <v>26</v>
      </c>
      <c r="E499" t="s">
        <v>18</v>
      </c>
      <c r="F499" t="s">
        <v>33</v>
      </c>
      <c r="G499" s="1">
        <v>766</v>
      </c>
      <c r="H499">
        <v>10</v>
      </c>
      <c r="I499" s="1">
        <f>supermarket_sales_new[[#This Row],[Unit price]]*supermarket_sales_new[[#This Row],[Quantity]]*5%</f>
        <v>383</v>
      </c>
      <c r="J499" s="1">
        <f>(supermarket_sales_new[[#This Row],[Unit price]]*supermarket_sales_new[[#This Row],[Quantity]])+supermarket_sales_new[[#This Row],[Tax 5%]]</f>
        <v>8043</v>
      </c>
    </row>
    <row r="500" spans="1:10" x14ac:dyDescent="0.35">
      <c r="A500" t="s">
        <v>9</v>
      </c>
      <c r="B500" t="s">
        <v>522</v>
      </c>
      <c r="C500" t="s">
        <v>16</v>
      </c>
      <c r="D500" t="s">
        <v>17</v>
      </c>
      <c r="E500" t="s">
        <v>13</v>
      </c>
      <c r="F500" t="s">
        <v>19</v>
      </c>
      <c r="G500" s="1">
        <v>6095</v>
      </c>
      <c r="H500">
        <v>1</v>
      </c>
      <c r="I500" s="1">
        <f>supermarket_sales_new[[#This Row],[Unit price]]*supermarket_sales_new[[#This Row],[Quantity]]*5%</f>
        <v>304.75</v>
      </c>
      <c r="J500" s="1">
        <f>(supermarket_sales_new[[#This Row],[Unit price]]*supermarket_sales_new[[#This Row],[Quantity]])+supermarket_sales_new[[#This Row],[Tax 5%]]</f>
        <v>6399.75</v>
      </c>
    </row>
    <row r="501" spans="1:10" x14ac:dyDescent="0.35">
      <c r="A501" t="s">
        <v>9</v>
      </c>
      <c r="B501" t="s">
        <v>523</v>
      </c>
      <c r="C501" t="s">
        <v>25</v>
      </c>
      <c r="D501" t="s">
        <v>26</v>
      </c>
      <c r="E501" t="s">
        <v>18</v>
      </c>
      <c r="F501" t="s">
        <v>22</v>
      </c>
      <c r="G501" s="1">
        <v>9738</v>
      </c>
      <c r="H501">
        <v>10</v>
      </c>
      <c r="I501" s="1">
        <f>supermarket_sales_new[[#This Row],[Unit price]]*supermarket_sales_new[[#This Row],[Quantity]]*5%</f>
        <v>4869</v>
      </c>
      <c r="J501" s="1">
        <f>(supermarket_sales_new[[#This Row],[Unit price]]*supermarket_sales_new[[#This Row],[Quantity]])+supermarket_sales_new[[#This Row],[Tax 5%]]</f>
        <v>102249</v>
      </c>
    </row>
    <row r="502" spans="1:10" x14ac:dyDescent="0.35">
      <c r="A502" t="s">
        <v>9</v>
      </c>
      <c r="B502" t="s">
        <v>524</v>
      </c>
      <c r="C502" t="s">
        <v>11</v>
      </c>
      <c r="D502" t="s">
        <v>12</v>
      </c>
      <c r="E502" t="s">
        <v>13</v>
      </c>
      <c r="F502" t="s">
        <v>29</v>
      </c>
      <c r="G502" s="1">
        <v>8834</v>
      </c>
      <c r="H502">
        <v>7</v>
      </c>
      <c r="I502" s="1">
        <f>supermarket_sales_new[[#This Row],[Unit price]]*supermarket_sales_new[[#This Row],[Quantity]]*5%</f>
        <v>3091.9</v>
      </c>
      <c r="J502" s="1">
        <f>(supermarket_sales_new[[#This Row],[Unit price]]*supermarket_sales_new[[#This Row],[Quantity]])+supermarket_sales_new[[#This Row],[Tax 5%]]</f>
        <v>64929.9</v>
      </c>
    </row>
    <row r="503" spans="1:10" x14ac:dyDescent="0.35">
      <c r="A503" t="s">
        <v>525</v>
      </c>
      <c r="B503" t="s">
        <v>526</v>
      </c>
      <c r="C503" t="s">
        <v>11</v>
      </c>
      <c r="D503" t="s">
        <v>12</v>
      </c>
      <c r="E503" t="s">
        <v>18</v>
      </c>
      <c r="F503" t="s">
        <v>22</v>
      </c>
      <c r="G503" s="1">
        <v>4633</v>
      </c>
      <c r="H503">
        <v>7</v>
      </c>
      <c r="I503" s="1">
        <f>supermarket_sales_new[[#This Row],[Unit price]]*supermarket_sales_new[[#This Row],[Quantity]]*5%</f>
        <v>1621.5500000000002</v>
      </c>
      <c r="J503" s="1">
        <f>(supermarket_sales_new[[#This Row],[Unit price]]*supermarket_sales_new[[#This Row],[Quantity]])+supermarket_sales_new[[#This Row],[Tax 5%]]</f>
        <v>34052.550000000003</v>
      </c>
    </row>
    <row r="504" spans="1:10" x14ac:dyDescent="0.35">
      <c r="A504" t="s">
        <v>525</v>
      </c>
      <c r="B504" t="s">
        <v>527</v>
      </c>
      <c r="C504" t="s">
        <v>11</v>
      </c>
      <c r="D504" t="s">
        <v>12</v>
      </c>
      <c r="E504" t="s">
        <v>13</v>
      </c>
      <c r="F504" t="s">
        <v>14</v>
      </c>
      <c r="G504" s="1">
        <v>5822</v>
      </c>
      <c r="H504">
        <v>8</v>
      </c>
      <c r="I504" s="1">
        <f>supermarket_sales_new[[#This Row],[Unit price]]*supermarket_sales_new[[#This Row],[Quantity]]*5%</f>
        <v>2328.8000000000002</v>
      </c>
      <c r="J504" s="1">
        <f>(supermarket_sales_new[[#This Row],[Unit price]]*supermarket_sales_new[[#This Row],[Quantity]])+supermarket_sales_new[[#This Row],[Tax 5%]]</f>
        <v>48904.800000000003</v>
      </c>
    </row>
    <row r="505" spans="1:10" x14ac:dyDescent="0.35">
      <c r="A505" t="s">
        <v>525</v>
      </c>
      <c r="B505" t="s">
        <v>528</v>
      </c>
      <c r="C505" t="s">
        <v>11</v>
      </c>
      <c r="D505" t="s">
        <v>12</v>
      </c>
      <c r="E505" t="s">
        <v>18</v>
      </c>
      <c r="F505" t="s">
        <v>33</v>
      </c>
      <c r="G505" s="1">
        <v>8631</v>
      </c>
      <c r="H505">
        <v>7</v>
      </c>
      <c r="I505" s="1">
        <f>supermarket_sales_new[[#This Row],[Unit price]]*supermarket_sales_new[[#This Row],[Quantity]]*5%</f>
        <v>3020.8500000000004</v>
      </c>
      <c r="J505" s="1">
        <f>(supermarket_sales_new[[#This Row],[Unit price]]*supermarket_sales_new[[#This Row],[Quantity]])+supermarket_sales_new[[#This Row],[Tax 5%]]</f>
        <v>63437.85</v>
      </c>
    </row>
    <row r="506" spans="1:10" x14ac:dyDescent="0.35">
      <c r="A506" t="s">
        <v>525</v>
      </c>
      <c r="B506" t="s">
        <v>529</v>
      </c>
      <c r="C506" t="s">
        <v>16</v>
      </c>
      <c r="D506" t="s">
        <v>17</v>
      </c>
      <c r="E506" t="s">
        <v>18</v>
      </c>
      <c r="F506" t="s">
        <v>19</v>
      </c>
      <c r="G506" s="1">
        <v>8539</v>
      </c>
      <c r="H506">
        <v>7</v>
      </c>
      <c r="I506" s="1">
        <f>supermarket_sales_new[[#This Row],[Unit price]]*supermarket_sales_new[[#This Row],[Quantity]]*5%</f>
        <v>2988.65</v>
      </c>
      <c r="J506" s="1">
        <f>(supermarket_sales_new[[#This Row],[Unit price]]*supermarket_sales_new[[#This Row],[Quantity]])+supermarket_sales_new[[#This Row],[Tax 5%]]</f>
        <v>62761.65</v>
      </c>
    </row>
    <row r="507" spans="1:10" x14ac:dyDescent="0.35">
      <c r="A507" t="s">
        <v>525</v>
      </c>
      <c r="B507" t="s">
        <v>530</v>
      </c>
      <c r="C507" t="s">
        <v>25</v>
      </c>
      <c r="D507" t="s">
        <v>26</v>
      </c>
      <c r="E507" t="s">
        <v>13</v>
      </c>
      <c r="F507" t="s">
        <v>19</v>
      </c>
      <c r="G507" s="1">
        <v>2551</v>
      </c>
      <c r="H507">
        <v>4</v>
      </c>
      <c r="I507" s="1">
        <f>supermarket_sales_new[[#This Row],[Unit price]]*supermarket_sales_new[[#This Row],[Quantity]]*5%</f>
        <v>510.20000000000005</v>
      </c>
      <c r="J507" s="1">
        <f>(supermarket_sales_new[[#This Row],[Unit price]]*supermarket_sales_new[[#This Row],[Quantity]])+supermarket_sales_new[[#This Row],[Tax 5%]]</f>
        <v>10714.2</v>
      </c>
    </row>
    <row r="508" spans="1:10" x14ac:dyDescent="0.35">
      <c r="A508" t="s">
        <v>525</v>
      </c>
      <c r="B508" t="s">
        <v>531</v>
      </c>
      <c r="C508" t="s">
        <v>11</v>
      </c>
      <c r="D508" t="s">
        <v>12</v>
      </c>
      <c r="E508" t="s">
        <v>18</v>
      </c>
      <c r="F508" t="s">
        <v>27</v>
      </c>
      <c r="G508" s="1">
        <v>4319</v>
      </c>
      <c r="H508">
        <v>10</v>
      </c>
      <c r="I508" s="1">
        <f>supermarket_sales_new[[#This Row],[Unit price]]*supermarket_sales_new[[#This Row],[Quantity]]*5%</f>
        <v>2159.5</v>
      </c>
      <c r="J508" s="1">
        <f>(supermarket_sales_new[[#This Row],[Unit price]]*supermarket_sales_new[[#This Row],[Quantity]])+supermarket_sales_new[[#This Row],[Tax 5%]]</f>
        <v>45349.5</v>
      </c>
    </row>
    <row r="509" spans="1:10" x14ac:dyDescent="0.35">
      <c r="A509" t="s">
        <v>525</v>
      </c>
      <c r="B509" t="s">
        <v>532</v>
      </c>
      <c r="C509" t="s">
        <v>11</v>
      </c>
      <c r="D509" t="s">
        <v>12</v>
      </c>
      <c r="E509" t="s">
        <v>18</v>
      </c>
      <c r="F509" t="s">
        <v>33</v>
      </c>
      <c r="G509" s="1">
        <v>7261</v>
      </c>
      <c r="H509">
        <v>6</v>
      </c>
      <c r="I509" s="1">
        <f>supermarket_sales_new[[#This Row],[Unit price]]*supermarket_sales_new[[#This Row],[Quantity]]*5%</f>
        <v>2178.3000000000002</v>
      </c>
      <c r="J509" s="1">
        <f>(supermarket_sales_new[[#This Row],[Unit price]]*supermarket_sales_new[[#This Row],[Quantity]])+supermarket_sales_new[[#This Row],[Tax 5%]]</f>
        <v>45744.3</v>
      </c>
    </row>
    <row r="510" spans="1:10" x14ac:dyDescent="0.35">
      <c r="A510" t="s">
        <v>525</v>
      </c>
      <c r="B510" t="s">
        <v>533</v>
      </c>
      <c r="C510" t="s">
        <v>11</v>
      </c>
      <c r="D510" t="s">
        <v>12</v>
      </c>
      <c r="E510" t="s">
        <v>18</v>
      </c>
      <c r="F510" t="s">
        <v>27</v>
      </c>
      <c r="G510" s="1">
        <v>5467</v>
      </c>
      <c r="H510">
        <v>3</v>
      </c>
      <c r="I510" s="1">
        <f>supermarket_sales_new[[#This Row],[Unit price]]*supermarket_sales_new[[#This Row],[Quantity]]*5%</f>
        <v>820.05000000000007</v>
      </c>
      <c r="J510" s="1">
        <f>(supermarket_sales_new[[#This Row],[Unit price]]*supermarket_sales_new[[#This Row],[Quantity]])+supermarket_sales_new[[#This Row],[Tax 5%]]</f>
        <v>17221.05</v>
      </c>
    </row>
    <row r="511" spans="1:10" x14ac:dyDescent="0.35">
      <c r="A511" t="s">
        <v>525</v>
      </c>
      <c r="B511" t="s">
        <v>534</v>
      </c>
      <c r="C511" t="s">
        <v>16</v>
      </c>
      <c r="D511" t="s">
        <v>17</v>
      </c>
      <c r="E511" t="s">
        <v>13</v>
      </c>
      <c r="F511" t="s">
        <v>19</v>
      </c>
      <c r="G511" s="1">
        <v>8604</v>
      </c>
      <c r="H511">
        <v>5</v>
      </c>
      <c r="I511" s="1">
        <f>supermarket_sales_new[[#This Row],[Unit price]]*supermarket_sales_new[[#This Row],[Quantity]]*5%</f>
        <v>2151</v>
      </c>
      <c r="J511" s="1">
        <f>(supermarket_sales_new[[#This Row],[Unit price]]*supermarket_sales_new[[#This Row],[Quantity]])+supermarket_sales_new[[#This Row],[Tax 5%]]</f>
        <v>45171</v>
      </c>
    </row>
    <row r="512" spans="1:10" x14ac:dyDescent="0.35">
      <c r="A512" t="s">
        <v>525</v>
      </c>
      <c r="B512" t="s">
        <v>535</v>
      </c>
      <c r="C512" t="s">
        <v>25</v>
      </c>
      <c r="D512" t="s">
        <v>26</v>
      </c>
      <c r="E512" t="s">
        <v>18</v>
      </c>
      <c r="F512" t="s">
        <v>14</v>
      </c>
      <c r="G512" s="1">
        <v>8798</v>
      </c>
      <c r="H512">
        <v>3</v>
      </c>
      <c r="I512" s="1">
        <f>supermarket_sales_new[[#This Row],[Unit price]]*supermarket_sales_new[[#This Row],[Quantity]]*5%</f>
        <v>1319.7</v>
      </c>
      <c r="J512" s="1">
        <f>(supermarket_sales_new[[#This Row],[Unit price]]*supermarket_sales_new[[#This Row],[Quantity]])+supermarket_sales_new[[#This Row],[Tax 5%]]</f>
        <v>27713.7</v>
      </c>
    </row>
    <row r="513" spans="1:10" x14ac:dyDescent="0.35">
      <c r="A513" t="s">
        <v>525</v>
      </c>
      <c r="B513" t="s">
        <v>536</v>
      </c>
      <c r="C513" t="s">
        <v>25</v>
      </c>
      <c r="D513" t="s">
        <v>26</v>
      </c>
      <c r="E513" t="s">
        <v>18</v>
      </c>
      <c r="F513" t="s">
        <v>22</v>
      </c>
      <c r="G513" s="1">
        <v>332</v>
      </c>
      <c r="H513">
        <v>2</v>
      </c>
      <c r="I513" s="1">
        <f>supermarket_sales_new[[#This Row],[Unit price]]*supermarket_sales_new[[#This Row],[Quantity]]*5%</f>
        <v>33.200000000000003</v>
      </c>
      <c r="J513" s="1">
        <f>(supermarket_sales_new[[#This Row],[Unit price]]*supermarket_sales_new[[#This Row],[Quantity]])+supermarket_sales_new[[#This Row],[Tax 5%]]</f>
        <v>697.2</v>
      </c>
    </row>
    <row r="514" spans="1:10" x14ac:dyDescent="0.35">
      <c r="A514" t="s">
        <v>525</v>
      </c>
      <c r="B514" t="s">
        <v>537</v>
      </c>
      <c r="C514" t="s">
        <v>11</v>
      </c>
      <c r="D514" t="s">
        <v>12</v>
      </c>
      <c r="E514" t="s">
        <v>18</v>
      </c>
      <c r="F514" t="s">
        <v>19</v>
      </c>
      <c r="G514" s="1">
        <v>3456</v>
      </c>
      <c r="H514">
        <v>5</v>
      </c>
      <c r="I514" s="1">
        <f>supermarket_sales_new[[#This Row],[Unit price]]*supermarket_sales_new[[#This Row],[Quantity]]*5%</f>
        <v>864</v>
      </c>
      <c r="J514" s="1">
        <f>(supermarket_sales_new[[#This Row],[Unit price]]*supermarket_sales_new[[#This Row],[Quantity]])+supermarket_sales_new[[#This Row],[Tax 5%]]</f>
        <v>18144</v>
      </c>
    </row>
    <row r="515" spans="1:10" x14ac:dyDescent="0.35">
      <c r="A515" t="s">
        <v>525</v>
      </c>
      <c r="B515" t="s">
        <v>538</v>
      </c>
      <c r="C515" t="s">
        <v>11</v>
      </c>
      <c r="D515" t="s">
        <v>12</v>
      </c>
      <c r="E515" t="s">
        <v>13</v>
      </c>
      <c r="F515" t="s">
        <v>33</v>
      </c>
      <c r="G515" s="1">
        <v>8863</v>
      </c>
      <c r="H515">
        <v>3</v>
      </c>
      <c r="I515" s="1">
        <f>supermarket_sales_new[[#This Row],[Unit price]]*supermarket_sales_new[[#This Row],[Quantity]]*5%</f>
        <v>1329.45</v>
      </c>
      <c r="J515" s="1">
        <f>(supermarket_sales_new[[#This Row],[Unit price]]*supermarket_sales_new[[#This Row],[Quantity]])+supermarket_sales_new[[#This Row],[Tax 5%]]</f>
        <v>27918.45</v>
      </c>
    </row>
    <row r="516" spans="1:10" x14ac:dyDescent="0.35">
      <c r="A516" t="s">
        <v>525</v>
      </c>
      <c r="B516" t="s">
        <v>539</v>
      </c>
      <c r="C516" t="s">
        <v>25</v>
      </c>
      <c r="D516" t="s">
        <v>26</v>
      </c>
      <c r="E516" t="s">
        <v>18</v>
      </c>
      <c r="F516" t="s">
        <v>29</v>
      </c>
      <c r="G516" s="1">
        <v>3352</v>
      </c>
      <c r="H516">
        <v>1</v>
      </c>
      <c r="I516" s="1">
        <f>supermarket_sales_new[[#This Row],[Unit price]]*supermarket_sales_new[[#This Row],[Quantity]]*5%</f>
        <v>167.60000000000002</v>
      </c>
      <c r="J516" s="1">
        <f>(supermarket_sales_new[[#This Row],[Unit price]]*supermarket_sales_new[[#This Row],[Quantity]])+supermarket_sales_new[[#This Row],[Tax 5%]]</f>
        <v>3519.6</v>
      </c>
    </row>
    <row r="517" spans="1:10" x14ac:dyDescent="0.35">
      <c r="A517" t="s">
        <v>525</v>
      </c>
      <c r="B517" t="s">
        <v>540</v>
      </c>
      <c r="C517" t="s">
        <v>11</v>
      </c>
      <c r="D517" t="s">
        <v>12</v>
      </c>
      <c r="E517" t="s">
        <v>18</v>
      </c>
      <c r="F517" t="s">
        <v>14</v>
      </c>
      <c r="G517" s="1">
        <v>2489</v>
      </c>
      <c r="H517">
        <v>9</v>
      </c>
      <c r="I517" s="1">
        <f>supermarket_sales_new[[#This Row],[Unit price]]*supermarket_sales_new[[#This Row],[Quantity]]*5%</f>
        <v>1120.05</v>
      </c>
      <c r="J517" s="1">
        <f>(supermarket_sales_new[[#This Row],[Unit price]]*supermarket_sales_new[[#This Row],[Quantity]])+supermarket_sales_new[[#This Row],[Tax 5%]]</f>
        <v>23521.05</v>
      </c>
    </row>
    <row r="518" spans="1:10" x14ac:dyDescent="0.35">
      <c r="A518" t="s">
        <v>525</v>
      </c>
      <c r="B518" t="s">
        <v>541</v>
      </c>
      <c r="C518" t="s">
        <v>25</v>
      </c>
      <c r="D518" t="s">
        <v>26</v>
      </c>
      <c r="E518" t="s">
        <v>18</v>
      </c>
      <c r="F518" t="s">
        <v>29</v>
      </c>
      <c r="G518" s="1">
        <v>9413</v>
      </c>
      <c r="H518">
        <v>5</v>
      </c>
      <c r="I518" s="1">
        <f>supermarket_sales_new[[#This Row],[Unit price]]*supermarket_sales_new[[#This Row],[Quantity]]*5%</f>
        <v>2353.25</v>
      </c>
      <c r="J518" s="1">
        <f>(supermarket_sales_new[[#This Row],[Unit price]]*supermarket_sales_new[[#This Row],[Quantity]])+supermarket_sales_new[[#This Row],[Tax 5%]]</f>
        <v>49418.25</v>
      </c>
    </row>
    <row r="519" spans="1:10" x14ac:dyDescent="0.35">
      <c r="A519" t="s">
        <v>525</v>
      </c>
      <c r="B519" t="s">
        <v>542</v>
      </c>
      <c r="C519" t="s">
        <v>25</v>
      </c>
      <c r="D519" t="s">
        <v>26</v>
      </c>
      <c r="E519" t="s">
        <v>13</v>
      </c>
      <c r="F519" t="s">
        <v>33</v>
      </c>
      <c r="G519" s="1">
        <v>7807</v>
      </c>
      <c r="H519">
        <v>9</v>
      </c>
      <c r="I519" s="1">
        <f>supermarket_sales_new[[#This Row],[Unit price]]*supermarket_sales_new[[#This Row],[Quantity]]*5%</f>
        <v>3513.15</v>
      </c>
      <c r="J519" s="1">
        <f>(supermarket_sales_new[[#This Row],[Unit price]]*supermarket_sales_new[[#This Row],[Quantity]])+supermarket_sales_new[[#This Row],[Tax 5%]]</f>
        <v>73776.149999999994</v>
      </c>
    </row>
    <row r="520" spans="1:10" x14ac:dyDescent="0.35">
      <c r="A520" t="s">
        <v>525</v>
      </c>
      <c r="B520" t="s">
        <v>543</v>
      </c>
      <c r="C520" t="s">
        <v>25</v>
      </c>
      <c r="D520" t="s">
        <v>26</v>
      </c>
      <c r="E520" t="s">
        <v>18</v>
      </c>
      <c r="F520" t="s">
        <v>33</v>
      </c>
      <c r="G520" s="1">
        <v>8378</v>
      </c>
      <c r="H520">
        <v>8</v>
      </c>
      <c r="I520" s="1">
        <f>supermarket_sales_new[[#This Row],[Unit price]]*supermarket_sales_new[[#This Row],[Quantity]]*5%</f>
        <v>3351.2000000000003</v>
      </c>
      <c r="J520" s="1">
        <f>(supermarket_sales_new[[#This Row],[Unit price]]*supermarket_sales_new[[#This Row],[Quantity]])+supermarket_sales_new[[#This Row],[Tax 5%]]</f>
        <v>70375.199999999997</v>
      </c>
    </row>
    <row r="521" spans="1:10" x14ac:dyDescent="0.35">
      <c r="A521" t="s">
        <v>525</v>
      </c>
      <c r="B521" t="s">
        <v>544</v>
      </c>
      <c r="C521" t="s">
        <v>11</v>
      </c>
      <c r="D521" t="s">
        <v>12</v>
      </c>
      <c r="E521" t="s">
        <v>18</v>
      </c>
      <c r="F521" t="s">
        <v>14</v>
      </c>
      <c r="G521" s="1">
        <v>9658</v>
      </c>
      <c r="H521">
        <v>2</v>
      </c>
      <c r="I521" s="1">
        <f>supermarket_sales_new[[#This Row],[Unit price]]*supermarket_sales_new[[#This Row],[Quantity]]*5%</f>
        <v>965.80000000000007</v>
      </c>
      <c r="J521" s="1">
        <f>(supermarket_sales_new[[#This Row],[Unit price]]*supermarket_sales_new[[#This Row],[Quantity]])+supermarket_sales_new[[#This Row],[Tax 5%]]</f>
        <v>20281.8</v>
      </c>
    </row>
    <row r="522" spans="1:10" x14ac:dyDescent="0.35">
      <c r="A522" t="s">
        <v>525</v>
      </c>
      <c r="B522" t="s">
        <v>545</v>
      </c>
      <c r="C522" t="s">
        <v>11</v>
      </c>
      <c r="D522" t="s">
        <v>12</v>
      </c>
      <c r="E522" t="s">
        <v>13</v>
      </c>
      <c r="F522" t="s">
        <v>33</v>
      </c>
      <c r="G522" s="1">
        <v>6262</v>
      </c>
      <c r="H522">
        <v>5</v>
      </c>
      <c r="I522" s="1">
        <f>supermarket_sales_new[[#This Row],[Unit price]]*supermarket_sales_new[[#This Row],[Quantity]]*5%</f>
        <v>1565.5</v>
      </c>
      <c r="J522" s="1">
        <f>(supermarket_sales_new[[#This Row],[Unit price]]*supermarket_sales_new[[#This Row],[Quantity]])+supermarket_sales_new[[#This Row],[Tax 5%]]</f>
        <v>32875.5</v>
      </c>
    </row>
    <row r="523" spans="1:10" x14ac:dyDescent="0.35">
      <c r="A523" t="s">
        <v>525</v>
      </c>
      <c r="B523" t="s">
        <v>546</v>
      </c>
      <c r="C523" t="s">
        <v>25</v>
      </c>
      <c r="D523" t="s">
        <v>26</v>
      </c>
      <c r="E523" t="s">
        <v>13</v>
      </c>
      <c r="F523" t="s">
        <v>22</v>
      </c>
      <c r="G523" s="1">
        <v>3012</v>
      </c>
      <c r="H523">
        <v>8</v>
      </c>
      <c r="I523" s="1">
        <f>supermarket_sales_new[[#This Row],[Unit price]]*supermarket_sales_new[[#This Row],[Quantity]]*5%</f>
        <v>1204.8</v>
      </c>
      <c r="J523" s="1">
        <f>(supermarket_sales_new[[#This Row],[Unit price]]*supermarket_sales_new[[#This Row],[Quantity]])+supermarket_sales_new[[#This Row],[Tax 5%]]</f>
        <v>25300.799999999999</v>
      </c>
    </row>
    <row r="524" spans="1:10" x14ac:dyDescent="0.35">
      <c r="A524" t="s">
        <v>525</v>
      </c>
      <c r="B524" t="s">
        <v>547</v>
      </c>
      <c r="C524" t="s">
        <v>16</v>
      </c>
      <c r="D524" t="s">
        <v>17</v>
      </c>
      <c r="E524" t="s">
        <v>13</v>
      </c>
      <c r="F524" t="s">
        <v>22</v>
      </c>
      <c r="G524" s="1">
        <v>5611</v>
      </c>
      <c r="H524">
        <v>2</v>
      </c>
      <c r="I524" s="1">
        <f>supermarket_sales_new[[#This Row],[Unit price]]*supermarket_sales_new[[#This Row],[Quantity]]*5%</f>
        <v>561.1</v>
      </c>
      <c r="J524" s="1">
        <f>(supermarket_sales_new[[#This Row],[Unit price]]*supermarket_sales_new[[#This Row],[Quantity]])+supermarket_sales_new[[#This Row],[Tax 5%]]</f>
        <v>11783.1</v>
      </c>
    </row>
    <row r="525" spans="1:10" x14ac:dyDescent="0.35">
      <c r="A525" t="s">
        <v>525</v>
      </c>
      <c r="B525" t="s">
        <v>548</v>
      </c>
      <c r="C525" t="s">
        <v>16</v>
      </c>
      <c r="D525" t="s">
        <v>17</v>
      </c>
      <c r="E525" t="s">
        <v>13</v>
      </c>
      <c r="F525" t="s">
        <v>14</v>
      </c>
      <c r="G525" s="1">
        <v>1537</v>
      </c>
      <c r="H525">
        <v>2</v>
      </c>
      <c r="I525" s="1">
        <f>supermarket_sales_new[[#This Row],[Unit price]]*supermarket_sales_new[[#This Row],[Quantity]]*5%</f>
        <v>153.70000000000002</v>
      </c>
      <c r="J525" s="1">
        <f>(supermarket_sales_new[[#This Row],[Unit price]]*supermarket_sales_new[[#This Row],[Quantity]])+supermarket_sales_new[[#This Row],[Tax 5%]]</f>
        <v>3227.7</v>
      </c>
    </row>
    <row r="526" spans="1:10" x14ac:dyDescent="0.35">
      <c r="A526" t="s">
        <v>525</v>
      </c>
      <c r="B526" t="s">
        <v>549</v>
      </c>
      <c r="C526" t="s">
        <v>25</v>
      </c>
      <c r="D526" t="s">
        <v>26</v>
      </c>
      <c r="E526" t="s">
        <v>13</v>
      </c>
      <c r="F526" t="s">
        <v>14</v>
      </c>
      <c r="G526" s="1">
        <v>5669</v>
      </c>
      <c r="H526">
        <v>9</v>
      </c>
      <c r="I526" s="1">
        <f>supermarket_sales_new[[#This Row],[Unit price]]*supermarket_sales_new[[#This Row],[Quantity]]*5%</f>
        <v>2551.0500000000002</v>
      </c>
      <c r="J526" s="1">
        <f>(supermarket_sales_new[[#This Row],[Unit price]]*supermarket_sales_new[[#This Row],[Quantity]])+supermarket_sales_new[[#This Row],[Tax 5%]]</f>
        <v>53572.05</v>
      </c>
    </row>
    <row r="527" spans="1:10" x14ac:dyDescent="0.35">
      <c r="A527" t="s">
        <v>525</v>
      </c>
      <c r="B527" t="s">
        <v>550</v>
      </c>
      <c r="C527" t="s">
        <v>25</v>
      </c>
      <c r="D527" t="s">
        <v>26</v>
      </c>
      <c r="E527" t="s">
        <v>13</v>
      </c>
      <c r="F527" t="s">
        <v>19</v>
      </c>
      <c r="G527" s="1">
        <v>1893</v>
      </c>
      <c r="H527">
        <v>6</v>
      </c>
      <c r="I527" s="1">
        <f>supermarket_sales_new[[#This Row],[Unit price]]*supermarket_sales_new[[#This Row],[Quantity]]*5%</f>
        <v>567.9</v>
      </c>
      <c r="J527" s="1">
        <f>(supermarket_sales_new[[#This Row],[Unit price]]*supermarket_sales_new[[#This Row],[Quantity]])+supermarket_sales_new[[#This Row],[Tax 5%]]</f>
        <v>11925.9</v>
      </c>
    </row>
    <row r="528" spans="1:10" x14ac:dyDescent="0.35">
      <c r="A528" t="s">
        <v>525</v>
      </c>
      <c r="B528" t="s">
        <v>551</v>
      </c>
      <c r="C528" t="s">
        <v>16</v>
      </c>
      <c r="D528" t="s">
        <v>17</v>
      </c>
      <c r="E528" t="s">
        <v>13</v>
      </c>
      <c r="F528" t="s">
        <v>27</v>
      </c>
      <c r="G528" s="1">
        <v>914</v>
      </c>
      <c r="H528">
        <v>7</v>
      </c>
      <c r="I528" s="1">
        <f>supermarket_sales_new[[#This Row],[Unit price]]*supermarket_sales_new[[#This Row],[Quantity]]*5%</f>
        <v>319.90000000000003</v>
      </c>
      <c r="J528" s="1">
        <f>(supermarket_sales_new[[#This Row],[Unit price]]*supermarket_sales_new[[#This Row],[Quantity]])+supermarket_sales_new[[#This Row],[Tax 5%]]</f>
        <v>6717.9</v>
      </c>
    </row>
    <row r="529" spans="1:10" x14ac:dyDescent="0.35">
      <c r="A529" t="s">
        <v>525</v>
      </c>
      <c r="B529" t="s">
        <v>552</v>
      </c>
      <c r="C529" t="s">
        <v>16</v>
      </c>
      <c r="D529" t="s">
        <v>17</v>
      </c>
      <c r="E529" t="s">
        <v>13</v>
      </c>
      <c r="F529" t="s">
        <v>29</v>
      </c>
      <c r="G529" s="1">
        <v>1543</v>
      </c>
      <c r="H529">
        <v>1</v>
      </c>
      <c r="I529" s="1">
        <f>supermarket_sales_new[[#This Row],[Unit price]]*supermarket_sales_new[[#This Row],[Quantity]]*5%</f>
        <v>77.150000000000006</v>
      </c>
      <c r="J529" s="1">
        <f>(supermarket_sales_new[[#This Row],[Unit price]]*supermarket_sales_new[[#This Row],[Quantity]])+supermarket_sales_new[[#This Row],[Tax 5%]]</f>
        <v>1620.15</v>
      </c>
    </row>
    <row r="530" spans="1:10" x14ac:dyDescent="0.35">
      <c r="A530" t="s">
        <v>525</v>
      </c>
      <c r="B530" t="s">
        <v>553</v>
      </c>
      <c r="C530" t="s">
        <v>25</v>
      </c>
      <c r="D530" t="s">
        <v>26</v>
      </c>
      <c r="E530" t="s">
        <v>18</v>
      </c>
      <c r="F530" t="s">
        <v>22</v>
      </c>
      <c r="G530" s="1">
        <v>1616</v>
      </c>
      <c r="H530">
        <v>2</v>
      </c>
      <c r="I530" s="1">
        <f>supermarket_sales_new[[#This Row],[Unit price]]*supermarket_sales_new[[#This Row],[Quantity]]*5%</f>
        <v>161.60000000000002</v>
      </c>
      <c r="J530" s="1">
        <f>(supermarket_sales_new[[#This Row],[Unit price]]*supermarket_sales_new[[#This Row],[Quantity]])+supermarket_sales_new[[#This Row],[Tax 5%]]</f>
        <v>3393.6</v>
      </c>
    </row>
    <row r="531" spans="1:10" x14ac:dyDescent="0.35">
      <c r="A531" t="s">
        <v>525</v>
      </c>
      <c r="B531" t="s">
        <v>554</v>
      </c>
      <c r="C531" t="s">
        <v>11</v>
      </c>
      <c r="D531" t="s">
        <v>12</v>
      </c>
      <c r="E531" t="s">
        <v>13</v>
      </c>
      <c r="F531" t="s">
        <v>22</v>
      </c>
      <c r="G531" s="1">
        <v>4434</v>
      </c>
      <c r="H531">
        <v>2</v>
      </c>
      <c r="I531" s="1">
        <f>supermarket_sales_new[[#This Row],[Unit price]]*supermarket_sales_new[[#This Row],[Quantity]]*5%</f>
        <v>443.40000000000003</v>
      </c>
      <c r="J531" s="1">
        <f>(supermarket_sales_new[[#This Row],[Unit price]]*supermarket_sales_new[[#This Row],[Quantity]])+supermarket_sales_new[[#This Row],[Tax 5%]]</f>
        <v>9311.4</v>
      </c>
    </row>
    <row r="532" spans="1:10" x14ac:dyDescent="0.35">
      <c r="A532" t="s">
        <v>525</v>
      </c>
      <c r="B532" t="s">
        <v>555</v>
      </c>
      <c r="C532" t="s">
        <v>11</v>
      </c>
      <c r="D532" t="s">
        <v>12</v>
      </c>
      <c r="E532" t="s">
        <v>18</v>
      </c>
      <c r="F532" t="s">
        <v>14</v>
      </c>
      <c r="G532" s="1">
        <v>896</v>
      </c>
      <c r="H532">
        <v>8</v>
      </c>
      <c r="I532" s="1">
        <f>supermarket_sales_new[[#This Row],[Unit price]]*supermarket_sales_new[[#This Row],[Quantity]]*5%</f>
        <v>358.40000000000003</v>
      </c>
      <c r="J532" s="1">
        <f>(supermarket_sales_new[[#This Row],[Unit price]]*supermarket_sales_new[[#This Row],[Quantity]])+supermarket_sales_new[[#This Row],[Tax 5%]]</f>
        <v>7526.4</v>
      </c>
    </row>
    <row r="533" spans="1:10" x14ac:dyDescent="0.35">
      <c r="A533" t="s">
        <v>525</v>
      </c>
      <c r="B533" t="s">
        <v>556</v>
      </c>
      <c r="C533" t="s">
        <v>16</v>
      </c>
      <c r="D533" t="s">
        <v>17</v>
      </c>
      <c r="E533" t="s">
        <v>18</v>
      </c>
      <c r="F533" t="s">
        <v>19</v>
      </c>
      <c r="G533" s="1">
        <v>3061</v>
      </c>
      <c r="H533">
        <v>6</v>
      </c>
      <c r="I533" s="1">
        <f>supermarket_sales_new[[#This Row],[Unit price]]*supermarket_sales_new[[#This Row],[Quantity]]*5%</f>
        <v>918.30000000000007</v>
      </c>
      <c r="J533" s="1">
        <f>(supermarket_sales_new[[#This Row],[Unit price]]*supermarket_sales_new[[#This Row],[Quantity]])+supermarket_sales_new[[#This Row],[Tax 5%]]</f>
        <v>19284.3</v>
      </c>
    </row>
    <row r="534" spans="1:10" x14ac:dyDescent="0.35">
      <c r="A534" t="s">
        <v>525</v>
      </c>
      <c r="B534" t="s">
        <v>557</v>
      </c>
      <c r="C534" t="s">
        <v>16</v>
      </c>
      <c r="D534" t="s">
        <v>17</v>
      </c>
      <c r="E534" t="s">
        <v>18</v>
      </c>
      <c r="F534" t="s">
        <v>22</v>
      </c>
      <c r="G534" s="1">
        <v>5573</v>
      </c>
      <c r="H534">
        <v>6</v>
      </c>
      <c r="I534" s="1">
        <f>supermarket_sales_new[[#This Row],[Unit price]]*supermarket_sales_new[[#This Row],[Quantity]]*5%</f>
        <v>1671.9</v>
      </c>
      <c r="J534" s="1">
        <f>(supermarket_sales_new[[#This Row],[Unit price]]*supermarket_sales_new[[#This Row],[Quantity]])+supermarket_sales_new[[#This Row],[Tax 5%]]</f>
        <v>35109.9</v>
      </c>
    </row>
    <row r="535" spans="1:10" x14ac:dyDescent="0.35">
      <c r="A535" t="s">
        <v>525</v>
      </c>
      <c r="B535" t="s">
        <v>558</v>
      </c>
      <c r="C535" t="s">
        <v>11</v>
      </c>
      <c r="D535" t="s">
        <v>12</v>
      </c>
      <c r="E535" t="s">
        <v>13</v>
      </c>
      <c r="F535" t="s">
        <v>33</v>
      </c>
      <c r="G535" s="1">
        <v>1581</v>
      </c>
      <c r="H535">
        <v>10</v>
      </c>
      <c r="I535" s="1">
        <f>supermarket_sales_new[[#This Row],[Unit price]]*supermarket_sales_new[[#This Row],[Quantity]]*5%</f>
        <v>790.5</v>
      </c>
      <c r="J535" s="1">
        <f>(supermarket_sales_new[[#This Row],[Unit price]]*supermarket_sales_new[[#This Row],[Quantity]])+supermarket_sales_new[[#This Row],[Tax 5%]]</f>
        <v>16600.5</v>
      </c>
    </row>
    <row r="536" spans="1:10" x14ac:dyDescent="0.35">
      <c r="A536" t="s">
        <v>525</v>
      </c>
      <c r="B536" t="s">
        <v>559</v>
      </c>
      <c r="C536" t="s">
        <v>25</v>
      </c>
      <c r="D536" t="s">
        <v>26</v>
      </c>
      <c r="E536" t="s">
        <v>13</v>
      </c>
      <c r="F536" t="s">
        <v>14</v>
      </c>
      <c r="G536" s="1">
        <v>7574</v>
      </c>
      <c r="H536">
        <v>4</v>
      </c>
      <c r="I536" s="1">
        <f>supermarket_sales_new[[#This Row],[Unit price]]*supermarket_sales_new[[#This Row],[Quantity]]*5%</f>
        <v>1514.8000000000002</v>
      </c>
      <c r="J536" s="1">
        <f>(supermarket_sales_new[[#This Row],[Unit price]]*supermarket_sales_new[[#This Row],[Quantity]])+supermarket_sales_new[[#This Row],[Tax 5%]]</f>
        <v>31810.799999999999</v>
      </c>
    </row>
    <row r="537" spans="1:10" x14ac:dyDescent="0.35">
      <c r="A537" t="s">
        <v>525</v>
      </c>
      <c r="B537" t="s">
        <v>560</v>
      </c>
      <c r="C537" t="s">
        <v>11</v>
      </c>
      <c r="D537" t="s">
        <v>12</v>
      </c>
      <c r="E537" t="s">
        <v>13</v>
      </c>
      <c r="F537" t="s">
        <v>14</v>
      </c>
      <c r="G537" s="1">
        <v>1587</v>
      </c>
      <c r="H537">
        <v>10</v>
      </c>
      <c r="I537" s="1">
        <f>supermarket_sales_new[[#This Row],[Unit price]]*supermarket_sales_new[[#This Row],[Quantity]]*5%</f>
        <v>793.5</v>
      </c>
      <c r="J537" s="1">
        <f>(supermarket_sales_new[[#This Row],[Unit price]]*supermarket_sales_new[[#This Row],[Quantity]])+supermarket_sales_new[[#This Row],[Tax 5%]]</f>
        <v>16663.5</v>
      </c>
    </row>
    <row r="538" spans="1:10" x14ac:dyDescent="0.35">
      <c r="A538" t="s">
        <v>525</v>
      </c>
      <c r="B538" t="s">
        <v>561</v>
      </c>
      <c r="C538" t="s">
        <v>11</v>
      </c>
      <c r="D538" t="s">
        <v>12</v>
      </c>
      <c r="E538" t="s">
        <v>18</v>
      </c>
      <c r="F538" t="s">
        <v>33</v>
      </c>
      <c r="G538" s="1">
        <v>7877</v>
      </c>
      <c r="H538">
        <v>10</v>
      </c>
      <c r="I538" s="1">
        <f>supermarket_sales_new[[#This Row],[Unit price]]*supermarket_sales_new[[#This Row],[Quantity]]*5%</f>
        <v>3938.5</v>
      </c>
      <c r="J538" s="1">
        <f>(supermarket_sales_new[[#This Row],[Unit price]]*supermarket_sales_new[[#This Row],[Quantity]])+supermarket_sales_new[[#This Row],[Tax 5%]]</f>
        <v>82708.5</v>
      </c>
    </row>
    <row r="539" spans="1:10" x14ac:dyDescent="0.35">
      <c r="A539" t="s">
        <v>525</v>
      </c>
      <c r="B539" t="s">
        <v>562</v>
      </c>
      <c r="C539" t="s">
        <v>16</v>
      </c>
      <c r="D539" t="s">
        <v>17</v>
      </c>
      <c r="E539" t="s">
        <v>18</v>
      </c>
      <c r="F539" t="s">
        <v>27</v>
      </c>
      <c r="G539" s="1">
        <v>8948</v>
      </c>
      <c r="H539">
        <v>10</v>
      </c>
      <c r="I539" s="1">
        <f>supermarket_sales_new[[#This Row],[Unit price]]*supermarket_sales_new[[#This Row],[Quantity]]*5%</f>
        <v>4474</v>
      </c>
      <c r="J539" s="1">
        <f>(supermarket_sales_new[[#This Row],[Unit price]]*supermarket_sales_new[[#This Row],[Quantity]])+supermarket_sales_new[[#This Row],[Tax 5%]]</f>
        <v>93954</v>
      </c>
    </row>
    <row r="540" spans="1:10" x14ac:dyDescent="0.35">
      <c r="A540" t="s">
        <v>525</v>
      </c>
      <c r="B540" t="s">
        <v>563</v>
      </c>
      <c r="C540" t="s">
        <v>16</v>
      </c>
      <c r="D540" t="s">
        <v>17</v>
      </c>
      <c r="E540" t="s">
        <v>18</v>
      </c>
      <c r="F540" t="s">
        <v>29</v>
      </c>
      <c r="G540" s="1">
        <v>6212</v>
      </c>
      <c r="H540">
        <v>10</v>
      </c>
      <c r="I540" s="1">
        <f>supermarket_sales_new[[#This Row],[Unit price]]*supermarket_sales_new[[#This Row],[Quantity]]*5%</f>
        <v>3106</v>
      </c>
      <c r="J540" s="1">
        <f>(supermarket_sales_new[[#This Row],[Unit price]]*supermarket_sales_new[[#This Row],[Quantity]])+supermarket_sales_new[[#This Row],[Tax 5%]]</f>
        <v>65226</v>
      </c>
    </row>
    <row r="541" spans="1:10" x14ac:dyDescent="0.35">
      <c r="A541" t="s">
        <v>525</v>
      </c>
      <c r="B541" t="s">
        <v>564</v>
      </c>
      <c r="C541" t="s">
        <v>11</v>
      </c>
      <c r="D541" t="s">
        <v>12</v>
      </c>
      <c r="E541" t="s">
        <v>18</v>
      </c>
      <c r="F541" t="s">
        <v>22</v>
      </c>
      <c r="G541" s="1">
        <v>7467</v>
      </c>
      <c r="H541">
        <v>9</v>
      </c>
      <c r="I541" s="1">
        <f>supermarket_sales_new[[#This Row],[Unit price]]*supermarket_sales_new[[#This Row],[Quantity]]*5%</f>
        <v>3360.15</v>
      </c>
      <c r="J541" s="1">
        <f>(supermarket_sales_new[[#This Row],[Unit price]]*supermarket_sales_new[[#This Row],[Quantity]])+supermarket_sales_new[[#This Row],[Tax 5%]]</f>
        <v>70563.149999999994</v>
      </c>
    </row>
    <row r="542" spans="1:10" x14ac:dyDescent="0.35">
      <c r="A542" t="s">
        <v>525</v>
      </c>
      <c r="B542" t="s">
        <v>565</v>
      </c>
      <c r="C542" t="s">
        <v>16</v>
      </c>
      <c r="D542" t="s">
        <v>17</v>
      </c>
      <c r="E542" t="s">
        <v>13</v>
      </c>
      <c r="F542" t="s">
        <v>29</v>
      </c>
      <c r="G542" s="1">
        <v>4904</v>
      </c>
      <c r="H542">
        <v>9</v>
      </c>
      <c r="I542" s="1">
        <f>supermarket_sales_new[[#This Row],[Unit price]]*supermarket_sales_new[[#This Row],[Quantity]]*5%</f>
        <v>2206.8000000000002</v>
      </c>
      <c r="J542" s="1">
        <f>(supermarket_sales_new[[#This Row],[Unit price]]*supermarket_sales_new[[#This Row],[Quantity]])+supermarket_sales_new[[#This Row],[Tax 5%]]</f>
        <v>46342.8</v>
      </c>
    </row>
    <row r="543" spans="1:10" x14ac:dyDescent="0.35">
      <c r="A543" t="s">
        <v>525</v>
      </c>
      <c r="B543" t="s">
        <v>566</v>
      </c>
      <c r="C543" t="s">
        <v>16</v>
      </c>
      <c r="D543" t="s">
        <v>17</v>
      </c>
      <c r="E543" t="s">
        <v>18</v>
      </c>
      <c r="F543" t="s">
        <v>27</v>
      </c>
      <c r="G543" s="1">
        <v>1925</v>
      </c>
      <c r="H543">
        <v>8</v>
      </c>
      <c r="I543" s="1">
        <f>supermarket_sales_new[[#This Row],[Unit price]]*supermarket_sales_new[[#This Row],[Quantity]]*5%</f>
        <v>770</v>
      </c>
      <c r="J543" s="1">
        <f>(supermarket_sales_new[[#This Row],[Unit price]]*supermarket_sales_new[[#This Row],[Quantity]])+supermarket_sales_new[[#This Row],[Tax 5%]]</f>
        <v>16170</v>
      </c>
    </row>
    <row r="544" spans="1:10" x14ac:dyDescent="0.35">
      <c r="A544" t="s">
        <v>525</v>
      </c>
      <c r="B544" t="s">
        <v>567</v>
      </c>
      <c r="C544" t="s">
        <v>16</v>
      </c>
      <c r="D544" t="s">
        <v>17</v>
      </c>
      <c r="E544" t="s">
        <v>13</v>
      </c>
      <c r="F544" t="s">
        <v>33</v>
      </c>
      <c r="G544" s="1">
        <v>4891</v>
      </c>
      <c r="H544">
        <v>5</v>
      </c>
      <c r="I544" s="1">
        <f>supermarket_sales_new[[#This Row],[Unit price]]*supermarket_sales_new[[#This Row],[Quantity]]*5%</f>
        <v>1222.75</v>
      </c>
      <c r="J544" s="1">
        <f>(supermarket_sales_new[[#This Row],[Unit price]]*supermarket_sales_new[[#This Row],[Quantity]])+supermarket_sales_new[[#This Row],[Tax 5%]]</f>
        <v>25677.75</v>
      </c>
    </row>
    <row r="545" spans="1:10" x14ac:dyDescent="0.35">
      <c r="A545" t="s">
        <v>525</v>
      </c>
      <c r="B545" t="s">
        <v>568</v>
      </c>
      <c r="C545" t="s">
        <v>16</v>
      </c>
      <c r="D545" t="s">
        <v>17</v>
      </c>
      <c r="E545" t="s">
        <v>18</v>
      </c>
      <c r="F545" t="s">
        <v>29</v>
      </c>
      <c r="G545" s="1">
        <v>7652</v>
      </c>
      <c r="H545">
        <v>5</v>
      </c>
      <c r="I545" s="1">
        <f>supermarket_sales_new[[#This Row],[Unit price]]*supermarket_sales_new[[#This Row],[Quantity]]*5%</f>
        <v>1913</v>
      </c>
      <c r="J545" s="1">
        <f>(supermarket_sales_new[[#This Row],[Unit price]]*supermarket_sales_new[[#This Row],[Quantity]])+supermarket_sales_new[[#This Row],[Tax 5%]]</f>
        <v>40173</v>
      </c>
    </row>
    <row r="546" spans="1:10" x14ac:dyDescent="0.35">
      <c r="A546" t="s">
        <v>525</v>
      </c>
      <c r="B546" t="s">
        <v>569</v>
      </c>
      <c r="C546" t="s">
        <v>11</v>
      </c>
      <c r="D546" t="s">
        <v>12</v>
      </c>
      <c r="E546" t="s">
        <v>13</v>
      </c>
      <c r="F546" t="s">
        <v>27</v>
      </c>
      <c r="G546" s="1">
        <v>4938</v>
      </c>
      <c r="H546">
        <v>7</v>
      </c>
      <c r="I546" s="1">
        <f>supermarket_sales_new[[#This Row],[Unit price]]*supermarket_sales_new[[#This Row],[Quantity]]*5%</f>
        <v>1728.3000000000002</v>
      </c>
      <c r="J546" s="1">
        <f>(supermarket_sales_new[[#This Row],[Unit price]]*supermarket_sales_new[[#This Row],[Quantity]])+supermarket_sales_new[[#This Row],[Tax 5%]]</f>
        <v>36294.300000000003</v>
      </c>
    </row>
    <row r="547" spans="1:10" x14ac:dyDescent="0.35">
      <c r="A547" t="s">
        <v>525</v>
      </c>
      <c r="B547" t="s">
        <v>570</v>
      </c>
      <c r="C547" t="s">
        <v>11</v>
      </c>
      <c r="D547" t="s">
        <v>12</v>
      </c>
      <c r="E547" t="s">
        <v>18</v>
      </c>
      <c r="F547" t="s">
        <v>33</v>
      </c>
      <c r="G547" s="1">
        <v>4247</v>
      </c>
      <c r="H547">
        <v>1</v>
      </c>
      <c r="I547" s="1">
        <f>supermarket_sales_new[[#This Row],[Unit price]]*supermarket_sales_new[[#This Row],[Quantity]]*5%</f>
        <v>212.35000000000002</v>
      </c>
      <c r="J547" s="1">
        <f>(supermarket_sales_new[[#This Row],[Unit price]]*supermarket_sales_new[[#This Row],[Quantity]])+supermarket_sales_new[[#This Row],[Tax 5%]]</f>
        <v>4459.3500000000004</v>
      </c>
    </row>
    <row r="548" spans="1:10" x14ac:dyDescent="0.35">
      <c r="A548" t="s">
        <v>525</v>
      </c>
      <c r="B548" t="s">
        <v>571</v>
      </c>
      <c r="C548" t="s">
        <v>25</v>
      </c>
      <c r="D548" t="s">
        <v>26</v>
      </c>
      <c r="E548" t="s">
        <v>13</v>
      </c>
      <c r="F548" t="s">
        <v>14</v>
      </c>
      <c r="G548" s="1">
        <v>6436</v>
      </c>
      <c r="H548">
        <v>9</v>
      </c>
      <c r="I548" s="1">
        <f>supermarket_sales_new[[#This Row],[Unit price]]*supermarket_sales_new[[#This Row],[Quantity]]*5%</f>
        <v>2896.2000000000003</v>
      </c>
      <c r="J548" s="1">
        <f>(supermarket_sales_new[[#This Row],[Unit price]]*supermarket_sales_new[[#This Row],[Quantity]])+supermarket_sales_new[[#This Row],[Tax 5%]]</f>
        <v>60820.2</v>
      </c>
    </row>
    <row r="549" spans="1:10" x14ac:dyDescent="0.35">
      <c r="A549" t="s">
        <v>525</v>
      </c>
      <c r="B549" t="s">
        <v>572</v>
      </c>
      <c r="C549" t="s">
        <v>16</v>
      </c>
      <c r="D549" t="s">
        <v>17</v>
      </c>
      <c r="E549" t="s">
        <v>18</v>
      </c>
      <c r="F549" t="s">
        <v>14</v>
      </c>
      <c r="G549" s="1">
        <v>8975</v>
      </c>
      <c r="H549">
        <v>1</v>
      </c>
      <c r="I549" s="1">
        <f>supermarket_sales_new[[#This Row],[Unit price]]*supermarket_sales_new[[#This Row],[Quantity]]*5%</f>
        <v>448.75</v>
      </c>
      <c r="J549" s="1">
        <f>(supermarket_sales_new[[#This Row],[Unit price]]*supermarket_sales_new[[#This Row],[Quantity]])+supermarket_sales_new[[#This Row],[Tax 5%]]</f>
        <v>9423.75</v>
      </c>
    </row>
    <row r="550" spans="1:10" x14ac:dyDescent="0.35">
      <c r="A550" t="s">
        <v>525</v>
      </c>
      <c r="B550" t="s">
        <v>573</v>
      </c>
      <c r="C550" t="s">
        <v>11</v>
      </c>
      <c r="D550" t="s">
        <v>12</v>
      </c>
      <c r="E550" t="s">
        <v>18</v>
      </c>
      <c r="F550" t="s">
        <v>19</v>
      </c>
      <c r="G550" s="1">
        <v>9716</v>
      </c>
      <c r="H550">
        <v>1</v>
      </c>
      <c r="I550" s="1">
        <f>supermarket_sales_new[[#This Row],[Unit price]]*supermarket_sales_new[[#This Row],[Quantity]]*5%</f>
        <v>485.8</v>
      </c>
      <c r="J550" s="1">
        <f>(supermarket_sales_new[[#This Row],[Unit price]]*supermarket_sales_new[[#This Row],[Quantity]])+supermarket_sales_new[[#This Row],[Tax 5%]]</f>
        <v>10201.799999999999</v>
      </c>
    </row>
    <row r="551" spans="1:10" x14ac:dyDescent="0.35">
      <c r="A551" t="s">
        <v>525</v>
      </c>
      <c r="B551" t="s">
        <v>574</v>
      </c>
      <c r="C551" t="s">
        <v>25</v>
      </c>
      <c r="D551" t="s">
        <v>26</v>
      </c>
      <c r="E551" t="s">
        <v>18</v>
      </c>
      <c r="F551" t="s">
        <v>14</v>
      </c>
      <c r="G551" s="1">
        <v>8787</v>
      </c>
      <c r="H551">
        <v>10</v>
      </c>
      <c r="I551" s="1">
        <f>supermarket_sales_new[[#This Row],[Unit price]]*supermarket_sales_new[[#This Row],[Quantity]]*5%</f>
        <v>4393.5</v>
      </c>
      <c r="J551" s="1">
        <f>(supermarket_sales_new[[#This Row],[Unit price]]*supermarket_sales_new[[#This Row],[Quantity]])+supermarket_sales_new[[#This Row],[Tax 5%]]</f>
        <v>92263.5</v>
      </c>
    </row>
    <row r="552" spans="1:10" x14ac:dyDescent="0.35">
      <c r="A552" t="s">
        <v>525</v>
      </c>
      <c r="B552" t="s">
        <v>575</v>
      </c>
      <c r="C552" t="s">
        <v>11</v>
      </c>
      <c r="D552" t="s">
        <v>12</v>
      </c>
      <c r="E552" t="s">
        <v>18</v>
      </c>
      <c r="F552" t="s">
        <v>27</v>
      </c>
      <c r="G552" s="1">
        <v>5275</v>
      </c>
      <c r="H552">
        <v>3</v>
      </c>
      <c r="I552" s="1">
        <f>supermarket_sales_new[[#This Row],[Unit price]]*supermarket_sales_new[[#This Row],[Quantity]]*5%</f>
        <v>791.25</v>
      </c>
      <c r="J552" s="1">
        <f>(supermarket_sales_new[[#This Row],[Unit price]]*supermarket_sales_new[[#This Row],[Quantity]])+supermarket_sales_new[[#This Row],[Tax 5%]]</f>
        <v>16616.25</v>
      </c>
    </row>
    <row r="553" spans="1:10" x14ac:dyDescent="0.35">
      <c r="A553" t="s">
        <v>525</v>
      </c>
      <c r="B553" t="s">
        <v>576</v>
      </c>
      <c r="C553" t="s">
        <v>25</v>
      </c>
      <c r="D553" t="s">
        <v>26</v>
      </c>
      <c r="E553" t="s">
        <v>18</v>
      </c>
      <c r="F553" t="s">
        <v>22</v>
      </c>
      <c r="G553" s="1">
        <v>827</v>
      </c>
      <c r="H553">
        <v>6</v>
      </c>
      <c r="I553" s="1">
        <f>supermarket_sales_new[[#This Row],[Unit price]]*supermarket_sales_new[[#This Row],[Quantity]]*5%</f>
        <v>248.10000000000002</v>
      </c>
      <c r="J553" s="1">
        <f>(supermarket_sales_new[[#This Row],[Unit price]]*supermarket_sales_new[[#This Row],[Quantity]])+supermarket_sales_new[[#This Row],[Tax 5%]]</f>
        <v>5210.1000000000004</v>
      </c>
    </row>
    <row r="554" spans="1:10" x14ac:dyDescent="0.35">
      <c r="A554" t="s">
        <v>525</v>
      </c>
      <c r="B554" t="s">
        <v>577</v>
      </c>
      <c r="C554" t="s">
        <v>16</v>
      </c>
      <c r="D554" t="s">
        <v>17</v>
      </c>
      <c r="E554" t="s">
        <v>13</v>
      </c>
      <c r="F554" t="s">
        <v>29</v>
      </c>
      <c r="G554" s="1">
        <v>4871</v>
      </c>
      <c r="H554">
        <v>1</v>
      </c>
      <c r="I554" s="1">
        <f>supermarket_sales_new[[#This Row],[Unit price]]*supermarket_sales_new[[#This Row],[Quantity]]*5%</f>
        <v>243.55</v>
      </c>
      <c r="J554" s="1">
        <f>(supermarket_sales_new[[#This Row],[Unit price]]*supermarket_sales_new[[#This Row],[Quantity]])+supermarket_sales_new[[#This Row],[Tax 5%]]</f>
        <v>5114.55</v>
      </c>
    </row>
    <row r="555" spans="1:10" x14ac:dyDescent="0.35">
      <c r="A555" t="s">
        <v>525</v>
      </c>
      <c r="B555" t="s">
        <v>578</v>
      </c>
      <c r="C555" t="s">
        <v>16</v>
      </c>
      <c r="D555" t="s">
        <v>17</v>
      </c>
      <c r="E555" t="s">
        <v>18</v>
      </c>
      <c r="F555" t="s">
        <v>29</v>
      </c>
      <c r="G555" s="1">
        <v>7855</v>
      </c>
      <c r="H555">
        <v>9</v>
      </c>
      <c r="I555" s="1">
        <f>supermarket_sales_new[[#This Row],[Unit price]]*supermarket_sales_new[[#This Row],[Quantity]]*5%</f>
        <v>3534.75</v>
      </c>
      <c r="J555" s="1">
        <f>(supermarket_sales_new[[#This Row],[Unit price]]*supermarket_sales_new[[#This Row],[Quantity]])+supermarket_sales_new[[#This Row],[Tax 5%]]</f>
        <v>74229.75</v>
      </c>
    </row>
    <row r="556" spans="1:10" x14ac:dyDescent="0.35">
      <c r="A556" t="s">
        <v>525</v>
      </c>
      <c r="B556" t="s">
        <v>579</v>
      </c>
      <c r="C556" t="s">
        <v>11</v>
      </c>
      <c r="D556" t="s">
        <v>12</v>
      </c>
      <c r="E556" t="s">
        <v>18</v>
      </c>
      <c r="F556" t="s">
        <v>27</v>
      </c>
      <c r="G556" s="1">
        <v>5826</v>
      </c>
      <c r="H556">
        <v>6</v>
      </c>
      <c r="I556" s="1">
        <f>supermarket_sales_new[[#This Row],[Unit price]]*supermarket_sales_new[[#This Row],[Quantity]]*5%</f>
        <v>1747.8000000000002</v>
      </c>
      <c r="J556" s="1">
        <f>(supermarket_sales_new[[#This Row],[Unit price]]*supermarket_sales_new[[#This Row],[Quantity]])+supermarket_sales_new[[#This Row],[Tax 5%]]</f>
        <v>36703.800000000003</v>
      </c>
    </row>
    <row r="557" spans="1:10" x14ac:dyDescent="0.35">
      <c r="A557" t="s">
        <v>525</v>
      </c>
      <c r="B557" t="s">
        <v>580</v>
      </c>
      <c r="C557" t="s">
        <v>25</v>
      </c>
      <c r="D557" t="s">
        <v>26</v>
      </c>
      <c r="E557" t="s">
        <v>18</v>
      </c>
      <c r="F557" t="s">
        <v>14</v>
      </c>
      <c r="G557" s="1">
        <v>3035</v>
      </c>
      <c r="H557">
        <v>7</v>
      </c>
      <c r="I557" s="1">
        <f>supermarket_sales_new[[#This Row],[Unit price]]*supermarket_sales_new[[#This Row],[Quantity]]*5%</f>
        <v>1062.25</v>
      </c>
      <c r="J557" s="1">
        <f>(supermarket_sales_new[[#This Row],[Unit price]]*supermarket_sales_new[[#This Row],[Quantity]])+supermarket_sales_new[[#This Row],[Tax 5%]]</f>
        <v>22307.25</v>
      </c>
    </row>
    <row r="558" spans="1:10" x14ac:dyDescent="0.35">
      <c r="A558" t="s">
        <v>525</v>
      </c>
      <c r="B558" t="s">
        <v>581</v>
      </c>
      <c r="C558" t="s">
        <v>11</v>
      </c>
      <c r="D558" t="s">
        <v>12</v>
      </c>
      <c r="E558" t="s">
        <v>13</v>
      </c>
      <c r="F558" t="s">
        <v>19</v>
      </c>
      <c r="G558" s="1">
        <v>8867</v>
      </c>
      <c r="H558">
        <v>10</v>
      </c>
      <c r="I558" s="1">
        <f>supermarket_sales_new[[#This Row],[Unit price]]*supermarket_sales_new[[#This Row],[Quantity]]*5%</f>
        <v>4433.5</v>
      </c>
      <c r="J558" s="1">
        <f>(supermarket_sales_new[[#This Row],[Unit price]]*supermarket_sales_new[[#This Row],[Quantity]])+supermarket_sales_new[[#This Row],[Tax 5%]]</f>
        <v>93103.5</v>
      </c>
    </row>
    <row r="559" spans="1:10" x14ac:dyDescent="0.35">
      <c r="A559" t="s">
        <v>525</v>
      </c>
      <c r="B559" t="s">
        <v>582</v>
      </c>
      <c r="C559" t="s">
        <v>16</v>
      </c>
      <c r="D559" t="s">
        <v>17</v>
      </c>
      <c r="E559" t="s">
        <v>18</v>
      </c>
      <c r="F559" t="s">
        <v>29</v>
      </c>
      <c r="G559" s="1">
        <v>2738</v>
      </c>
      <c r="H559">
        <v>6</v>
      </c>
      <c r="I559" s="1">
        <f>supermarket_sales_new[[#This Row],[Unit price]]*supermarket_sales_new[[#This Row],[Quantity]]*5%</f>
        <v>821.40000000000009</v>
      </c>
      <c r="J559" s="1">
        <f>(supermarket_sales_new[[#This Row],[Unit price]]*supermarket_sales_new[[#This Row],[Quantity]])+supermarket_sales_new[[#This Row],[Tax 5%]]</f>
        <v>17249.400000000001</v>
      </c>
    </row>
    <row r="560" spans="1:10" x14ac:dyDescent="0.35">
      <c r="A560" t="s">
        <v>525</v>
      </c>
      <c r="B560" t="s">
        <v>583</v>
      </c>
      <c r="C560" t="s">
        <v>11</v>
      </c>
      <c r="D560" t="s">
        <v>12</v>
      </c>
      <c r="E560" t="s">
        <v>18</v>
      </c>
      <c r="F560" t="s">
        <v>33</v>
      </c>
      <c r="G560" s="1">
        <v>6213</v>
      </c>
      <c r="H560">
        <v>6</v>
      </c>
      <c r="I560" s="1">
        <f>supermarket_sales_new[[#This Row],[Unit price]]*supermarket_sales_new[[#This Row],[Quantity]]*5%</f>
        <v>1863.9</v>
      </c>
      <c r="J560" s="1">
        <f>(supermarket_sales_new[[#This Row],[Unit price]]*supermarket_sales_new[[#This Row],[Quantity]])+supermarket_sales_new[[#This Row],[Tax 5%]]</f>
        <v>39141.9</v>
      </c>
    </row>
    <row r="561" spans="1:10" x14ac:dyDescent="0.35">
      <c r="A561" t="s">
        <v>525</v>
      </c>
      <c r="B561" t="s">
        <v>584</v>
      </c>
      <c r="C561" t="s">
        <v>16</v>
      </c>
      <c r="D561" t="s">
        <v>17</v>
      </c>
      <c r="E561" t="s">
        <v>13</v>
      </c>
      <c r="F561" t="s">
        <v>19</v>
      </c>
      <c r="G561" s="1">
        <v>8197</v>
      </c>
      <c r="H561">
        <v>10</v>
      </c>
      <c r="I561" s="1">
        <f>supermarket_sales_new[[#This Row],[Unit price]]*supermarket_sales_new[[#This Row],[Quantity]]*5%</f>
        <v>4098.5</v>
      </c>
      <c r="J561" s="1">
        <f>(supermarket_sales_new[[#This Row],[Unit price]]*supermarket_sales_new[[#This Row],[Quantity]])+supermarket_sales_new[[#This Row],[Tax 5%]]</f>
        <v>86068.5</v>
      </c>
    </row>
    <row r="562" spans="1:10" x14ac:dyDescent="0.35">
      <c r="A562" t="s">
        <v>525</v>
      </c>
      <c r="B562" t="s">
        <v>585</v>
      </c>
      <c r="C562" t="s">
        <v>11</v>
      </c>
      <c r="D562" t="s">
        <v>12</v>
      </c>
      <c r="E562" t="s">
        <v>13</v>
      </c>
      <c r="F562" t="s">
        <v>22</v>
      </c>
      <c r="G562" s="1">
        <v>5807</v>
      </c>
      <c r="H562">
        <v>9</v>
      </c>
      <c r="I562" s="1">
        <f>supermarket_sales_new[[#This Row],[Unit price]]*supermarket_sales_new[[#This Row],[Quantity]]*5%</f>
        <v>2613.15</v>
      </c>
      <c r="J562" s="1">
        <f>(supermarket_sales_new[[#This Row],[Unit price]]*supermarket_sales_new[[#This Row],[Quantity]])+supermarket_sales_new[[#This Row],[Tax 5%]]</f>
        <v>54876.15</v>
      </c>
    </row>
    <row r="563" spans="1:10" x14ac:dyDescent="0.35">
      <c r="A563" t="s">
        <v>525</v>
      </c>
      <c r="B563" t="s">
        <v>586</v>
      </c>
      <c r="C563" t="s">
        <v>25</v>
      </c>
      <c r="D563" t="s">
        <v>26</v>
      </c>
      <c r="E563" t="s">
        <v>13</v>
      </c>
      <c r="F563" t="s">
        <v>29</v>
      </c>
      <c r="G563" s="1">
        <v>2194</v>
      </c>
      <c r="H563">
        <v>5</v>
      </c>
      <c r="I563" s="1">
        <f>supermarket_sales_new[[#This Row],[Unit price]]*supermarket_sales_new[[#This Row],[Quantity]]*5%</f>
        <v>548.5</v>
      </c>
      <c r="J563" s="1">
        <f>(supermarket_sales_new[[#This Row],[Unit price]]*supermarket_sales_new[[#This Row],[Quantity]])+supermarket_sales_new[[#This Row],[Tax 5%]]</f>
        <v>11518.5</v>
      </c>
    </row>
    <row r="564" spans="1:10" x14ac:dyDescent="0.35">
      <c r="A564" t="s">
        <v>525</v>
      </c>
      <c r="B564" t="s">
        <v>587</v>
      </c>
      <c r="C564" t="s">
        <v>25</v>
      </c>
      <c r="D564" t="s">
        <v>26</v>
      </c>
      <c r="E564" t="s">
        <v>13</v>
      </c>
      <c r="F564" t="s">
        <v>29</v>
      </c>
      <c r="G564" s="1">
        <v>5136</v>
      </c>
      <c r="H564">
        <v>1</v>
      </c>
      <c r="I564" s="1">
        <f>supermarket_sales_new[[#This Row],[Unit price]]*supermarket_sales_new[[#This Row],[Quantity]]*5%</f>
        <v>256.8</v>
      </c>
      <c r="J564" s="1">
        <f>(supermarket_sales_new[[#This Row],[Unit price]]*supermarket_sales_new[[#This Row],[Quantity]])+supermarket_sales_new[[#This Row],[Tax 5%]]</f>
        <v>5392.8</v>
      </c>
    </row>
    <row r="565" spans="1:10" x14ac:dyDescent="0.35">
      <c r="A565" t="s">
        <v>525</v>
      </c>
      <c r="B565" t="s">
        <v>588</v>
      </c>
      <c r="C565" t="s">
        <v>25</v>
      </c>
      <c r="D565" t="s">
        <v>26</v>
      </c>
      <c r="E565" t="s">
        <v>18</v>
      </c>
      <c r="F565" t="s">
        <v>22</v>
      </c>
      <c r="G565" s="1">
        <v>5344</v>
      </c>
      <c r="H565">
        <v>2</v>
      </c>
      <c r="I565" s="1">
        <f>supermarket_sales_new[[#This Row],[Unit price]]*supermarket_sales_new[[#This Row],[Quantity]]*5%</f>
        <v>534.4</v>
      </c>
      <c r="J565" s="1">
        <f>(supermarket_sales_new[[#This Row],[Unit price]]*supermarket_sales_new[[#This Row],[Quantity]])+supermarket_sales_new[[#This Row],[Tax 5%]]</f>
        <v>11222.4</v>
      </c>
    </row>
    <row r="566" spans="1:10" x14ac:dyDescent="0.35">
      <c r="A566" t="s">
        <v>525</v>
      </c>
      <c r="B566" t="s">
        <v>589</v>
      </c>
      <c r="C566" t="s">
        <v>16</v>
      </c>
      <c r="D566" t="s">
        <v>17</v>
      </c>
      <c r="E566" t="s">
        <v>13</v>
      </c>
      <c r="F566" t="s">
        <v>33</v>
      </c>
      <c r="G566" s="1">
        <v>5712</v>
      </c>
      <c r="H566">
        <v>7</v>
      </c>
      <c r="I566" s="1">
        <f>supermarket_sales_new[[#This Row],[Unit price]]*supermarket_sales_new[[#This Row],[Quantity]]*5%</f>
        <v>1999.2</v>
      </c>
      <c r="J566" s="1">
        <f>(supermarket_sales_new[[#This Row],[Unit price]]*supermarket_sales_new[[#This Row],[Quantity]])+supermarket_sales_new[[#This Row],[Tax 5%]]</f>
        <v>41983.199999999997</v>
      </c>
    </row>
    <row r="567" spans="1:10" x14ac:dyDescent="0.35">
      <c r="A567" t="s">
        <v>525</v>
      </c>
      <c r="B567" t="s">
        <v>590</v>
      </c>
      <c r="C567" t="s">
        <v>25</v>
      </c>
      <c r="D567" t="s">
        <v>26</v>
      </c>
      <c r="E567" t="s">
        <v>13</v>
      </c>
      <c r="F567" t="s">
        <v>33</v>
      </c>
      <c r="G567" s="1">
        <v>9996</v>
      </c>
      <c r="H567">
        <v>9</v>
      </c>
      <c r="I567" s="1">
        <f>supermarket_sales_new[[#This Row],[Unit price]]*supermarket_sales_new[[#This Row],[Quantity]]*5%</f>
        <v>4498.2</v>
      </c>
      <c r="J567" s="1">
        <f>(supermarket_sales_new[[#This Row],[Unit price]]*supermarket_sales_new[[#This Row],[Quantity]])+supermarket_sales_new[[#This Row],[Tax 5%]]</f>
        <v>94462.2</v>
      </c>
    </row>
    <row r="568" spans="1:10" x14ac:dyDescent="0.35">
      <c r="A568" t="s">
        <v>525</v>
      </c>
      <c r="B568" t="s">
        <v>591</v>
      </c>
      <c r="C568" t="s">
        <v>16</v>
      </c>
      <c r="D568" t="s">
        <v>17</v>
      </c>
      <c r="E568" t="s">
        <v>13</v>
      </c>
      <c r="F568" t="s">
        <v>22</v>
      </c>
      <c r="G568" s="1">
        <v>6391</v>
      </c>
      <c r="H568">
        <v>8</v>
      </c>
      <c r="I568" s="1">
        <f>supermarket_sales_new[[#This Row],[Unit price]]*supermarket_sales_new[[#This Row],[Quantity]]*5%</f>
        <v>2556.4</v>
      </c>
      <c r="J568" s="1">
        <f>(supermarket_sales_new[[#This Row],[Unit price]]*supermarket_sales_new[[#This Row],[Quantity]])+supermarket_sales_new[[#This Row],[Tax 5%]]</f>
        <v>53684.4</v>
      </c>
    </row>
    <row r="569" spans="1:10" x14ac:dyDescent="0.35">
      <c r="A569" t="s">
        <v>525</v>
      </c>
      <c r="B569" t="s">
        <v>592</v>
      </c>
      <c r="C569" t="s">
        <v>25</v>
      </c>
      <c r="D569" t="s">
        <v>26</v>
      </c>
      <c r="E569" t="s">
        <v>13</v>
      </c>
      <c r="F569" t="s">
        <v>19</v>
      </c>
      <c r="G569" s="1">
        <v>8745</v>
      </c>
      <c r="H569">
        <v>6</v>
      </c>
      <c r="I569" s="1">
        <f>supermarket_sales_new[[#This Row],[Unit price]]*supermarket_sales_new[[#This Row],[Quantity]]*5%</f>
        <v>2623.5</v>
      </c>
      <c r="J569" s="1">
        <f>(supermarket_sales_new[[#This Row],[Unit price]]*supermarket_sales_new[[#This Row],[Quantity]])+supermarket_sales_new[[#This Row],[Tax 5%]]</f>
        <v>55093.5</v>
      </c>
    </row>
    <row r="570" spans="1:10" x14ac:dyDescent="0.35">
      <c r="A570" t="s">
        <v>525</v>
      </c>
      <c r="B570" t="s">
        <v>593</v>
      </c>
      <c r="C570" t="s">
        <v>16</v>
      </c>
      <c r="D570" t="s">
        <v>17</v>
      </c>
      <c r="E570" t="s">
        <v>18</v>
      </c>
      <c r="F570" t="s">
        <v>29</v>
      </c>
      <c r="G570" s="1">
        <v>9022</v>
      </c>
      <c r="H570">
        <v>3</v>
      </c>
      <c r="I570" s="1">
        <f>supermarket_sales_new[[#This Row],[Unit price]]*supermarket_sales_new[[#This Row],[Quantity]]*5%</f>
        <v>1353.3000000000002</v>
      </c>
      <c r="J570" s="1">
        <f>(supermarket_sales_new[[#This Row],[Unit price]]*supermarket_sales_new[[#This Row],[Quantity]])+supermarket_sales_new[[#This Row],[Tax 5%]]</f>
        <v>28419.3</v>
      </c>
    </row>
    <row r="571" spans="1:10" x14ac:dyDescent="0.35">
      <c r="A571" t="s">
        <v>525</v>
      </c>
      <c r="B571" t="s">
        <v>594</v>
      </c>
      <c r="C571" t="s">
        <v>25</v>
      </c>
      <c r="D571" t="s">
        <v>26</v>
      </c>
      <c r="E571" t="s">
        <v>18</v>
      </c>
      <c r="F571" t="s">
        <v>33</v>
      </c>
      <c r="G571" s="1">
        <v>5191</v>
      </c>
      <c r="H571">
        <v>10</v>
      </c>
      <c r="I571" s="1">
        <f>supermarket_sales_new[[#This Row],[Unit price]]*supermarket_sales_new[[#This Row],[Quantity]]*5%</f>
        <v>2595.5</v>
      </c>
      <c r="J571" s="1">
        <f>(supermarket_sales_new[[#This Row],[Unit price]]*supermarket_sales_new[[#This Row],[Quantity]])+supermarket_sales_new[[#This Row],[Tax 5%]]</f>
        <v>54505.5</v>
      </c>
    </row>
    <row r="572" spans="1:10" x14ac:dyDescent="0.35">
      <c r="A572" t="s">
        <v>525</v>
      </c>
      <c r="B572" t="s">
        <v>595</v>
      </c>
      <c r="C572" t="s">
        <v>11</v>
      </c>
      <c r="D572" t="s">
        <v>12</v>
      </c>
      <c r="E572" t="s">
        <v>18</v>
      </c>
      <c r="F572" t="s">
        <v>33</v>
      </c>
      <c r="G572" s="1">
        <v>725</v>
      </c>
      <c r="H572">
        <v>8</v>
      </c>
      <c r="I572" s="1">
        <f>supermarket_sales_new[[#This Row],[Unit price]]*supermarket_sales_new[[#This Row],[Quantity]]*5%</f>
        <v>290</v>
      </c>
      <c r="J572" s="1">
        <f>(supermarket_sales_new[[#This Row],[Unit price]]*supermarket_sales_new[[#This Row],[Quantity]])+supermarket_sales_new[[#This Row],[Tax 5%]]</f>
        <v>6090</v>
      </c>
    </row>
    <row r="573" spans="1:10" x14ac:dyDescent="0.35">
      <c r="A573" t="s">
        <v>525</v>
      </c>
      <c r="B573" t="s">
        <v>596</v>
      </c>
      <c r="C573" t="s">
        <v>16</v>
      </c>
      <c r="D573" t="s">
        <v>17</v>
      </c>
      <c r="E573" t="s">
        <v>13</v>
      </c>
      <c r="F573" t="s">
        <v>14</v>
      </c>
      <c r="G573" s="1">
        <v>905</v>
      </c>
      <c r="H573">
        <v>10</v>
      </c>
      <c r="I573" s="1">
        <f>supermarket_sales_new[[#This Row],[Unit price]]*supermarket_sales_new[[#This Row],[Quantity]]*5%</f>
        <v>452.5</v>
      </c>
      <c r="J573" s="1">
        <f>(supermarket_sales_new[[#This Row],[Unit price]]*supermarket_sales_new[[#This Row],[Quantity]])+supermarket_sales_new[[#This Row],[Tax 5%]]</f>
        <v>9502.5</v>
      </c>
    </row>
    <row r="574" spans="1:10" x14ac:dyDescent="0.35">
      <c r="A574" t="s">
        <v>525</v>
      </c>
      <c r="B574" t="s">
        <v>597</v>
      </c>
      <c r="C574" t="s">
        <v>16</v>
      </c>
      <c r="D574" t="s">
        <v>17</v>
      </c>
      <c r="E574" t="s">
        <v>18</v>
      </c>
      <c r="F574" t="s">
        <v>14</v>
      </c>
      <c r="G574" s="1">
        <v>6614</v>
      </c>
      <c r="H574">
        <v>4</v>
      </c>
      <c r="I574" s="1">
        <f>supermarket_sales_new[[#This Row],[Unit price]]*supermarket_sales_new[[#This Row],[Quantity]]*5%</f>
        <v>1322.8000000000002</v>
      </c>
      <c r="J574" s="1">
        <f>(supermarket_sales_new[[#This Row],[Unit price]]*supermarket_sales_new[[#This Row],[Quantity]])+supermarket_sales_new[[#This Row],[Tax 5%]]</f>
        <v>27778.799999999999</v>
      </c>
    </row>
    <row r="575" spans="1:10" x14ac:dyDescent="0.35">
      <c r="A575" t="s">
        <v>525</v>
      </c>
      <c r="B575" t="s">
        <v>598</v>
      </c>
      <c r="C575" t="s">
        <v>25</v>
      </c>
      <c r="D575" t="s">
        <v>26</v>
      </c>
      <c r="E575" t="s">
        <v>13</v>
      </c>
      <c r="F575" t="s">
        <v>22</v>
      </c>
      <c r="G575" s="1">
        <v>7186</v>
      </c>
      <c r="H575">
        <v>8</v>
      </c>
      <c r="I575" s="1">
        <f>supermarket_sales_new[[#This Row],[Unit price]]*supermarket_sales_new[[#This Row],[Quantity]]*5%</f>
        <v>2874.4</v>
      </c>
      <c r="J575" s="1">
        <f>(supermarket_sales_new[[#This Row],[Unit price]]*supermarket_sales_new[[#This Row],[Quantity]])+supermarket_sales_new[[#This Row],[Tax 5%]]</f>
        <v>60362.400000000001</v>
      </c>
    </row>
    <row r="576" spans="1:10" x14ac:dyDescent="0.35">
      <c r="A576" t="s">
        <v>525</v>
      </c>
      <c r="B576" t="s">
        <v>599</v>
      </c>
      <c r="C576" t="s">
        <v>11</v>
      </c>
      <c r="D576" t="s">
        <v>12</v>
      </c>
      <c r="E576" t="s">
        <v>18</v>
      </c>
      <c r="F576" t="s">
        <v>14</v>
      </c>
      <c r="G576" s="1">
        <v>3246</v>
      </c>
      <c r="H576">
        <v>8</v>
      </c>
      <c r="I576" s="1">
        <f>supermarket_sales_new[[#This Row],[Unit price]]*supermarket_sales_new[[#This Row],[Quantity]]*5%</f>
        <v>1298.4000000000001</v>
      </c>
      <c r="J576" s="1">
        <f>(supermarket_sales_new[[#This Row],[Unit price]]*supermarket_sales_new[[#This Row],[Quantity]])+supermarket_sales_new[[#This Row],[Tax 5%]]</f>
        <v>27266.400000000001</v>
      </c>
    </row>
    <row r="577" spans="1:10" x14ac:dyDescent="0.35">
      <c r="A577" t="s">
        <v>525</v>
      </c>
      <c r="B577" t="s">
        <v>600</v>
      </c>
      <c r="C577" t="s">
        <v>16</v>
      </c>
      <c r="D577" t="s">
        <v>17</v>
      </c>
      <c r="E577" t="s">
        <v>13</v>
      </c>
      <c r="F577" t="s">
        <v>33</v>
      </c>
      <c r="G577" s="1">
        <v>3456</v>
      </c>
      <c r="H577">
        <v>7</v>
      </c>
      <c r="I577" s="1">
        <f>supermarket_sales_new[[#This Row],[Unit price]]*supermarket_sales_new[[#This Row],[Quantity]]*5%</f>
        <v>1209.6000000000001</v>
      </c>
      <c r="J577" s="1">
        <f>(supermarket_sales_new[[#This Row],[Unit price]]*supermarket_sales_new[[#This Row],[Quantity]])+supermarket_sales_new[[#This Row],[Tax 5%]]</f>
        <v>25401.599999999999</v>
      </c>
    </row>
    <row r="578" spans="1:10" x14ac:dyDescent="0.35">
      <c r="A578" t="s">
        <v>525</v>
      </c>
      <c r="B578" t="s">
        <v>601</v>
      </c>
      <c r="C578" t="s">
        <v>11</v>
      </c>
      <c r="D578" t="s">
        <v>12</v>
      </c>
      <c r="E578" t="s">
        <v>18</v>
      </c>
      <c r="F578" t="s">
        <v>29</v>
      </c>
      <c r="G578" s="1">
        <v>8324</v>
      </c>
      <c r="H578">
        <v>9</v>
      </c>
      <c r="I578" s="1">
        <f>supermarket_sales_new[[#This Row],[Unit price]]*supermarket_sales_new[[#This Row],[Quantity]]*5%</f>
        <v>3745.8</v>
      </c>
      <c r="J578" s="1">
        <f>(supermarket_sales_new[[#This Row],[Unit price]]*supermarket_sales_new[[#This Row],[Quantity]])+supermarket_sales_new[[#This Row],[Tax 5%]]</f>
        <v>78661.8</v>
      </c>
    </row>
    <row r="579" spans="1:10" x14ac:dyDescent="0.35">
      <c r="A579" t="s">
        <v>525</v>
      </c>
      <c r="B579" t="s">
        <v>602</v>
      </c>
      <c r="C579" t="s">
        <v>11</v>
      </c>
      <c r="D579" t="s">
        <v>12</v>
      </c>
      <c r="E579" t="s">
        <v>13</v>
      </c>
      <c r="F579" t="s">
        <v>27</v>
      </c>
      <c r="G579" s="1">
        <v>9229</v>
      </c>
      <c r="H579">
        <v>5</v>
      </c>
      <c r="I579" s="1">
        <f>supermarket_sales_new[[#This Row],[Unit price]]*supermarket_sales_new[[#This Row],[Quantity]]*5%</f>
        <v>2307.25</v>
      </c>
      <c r="J579" s="1">
        <f>(supermarket_sales_new[[#This Row],[Unit price]]*supermarket_sales_new[[#This Row],[Quantity]])+supermarket_sales_new[[#This Row],[Tax 5%]]</f>
        <v>48452.25</v>
      </c>
    </row>
    <row r="580" spans="1:10" x14ac:dyDescent="0.35">
      <c r="A580" t="s">
        <v>525</v>
      </c>
      <c r="B580" t="s">
        <v>603</v>
      </c>
      <c r="C580" t="s">
        <v>25</v>
      </c>
      <c r="D580" t="s">
        <v>26</v>
      </c>
      <c r="E580" t="s">
        <v>13</v>
      </c>
      <c r="F580" t="s">
        <v>19</v>
      </c>
      <c r="G580" s="1">
        <v>7217</v>
      </c>
      <c r="H580">
        <v>1</v>
      </c>
      <c r="I580" s="1">
        <f>supermarket_sales_new[[#This Row],[Unit price]]*supermarket_sales_new[[#This Row],[Quantity]]*5%</f>
        <v>360.85</v>
      </c>
      <c r="J580" s="1">
        <f>(supermarket_sales_new[[#This Row],[Unit price]]*supermarket_sales_new[[#This Row],[Quantity]])+supermarket_sales_new[[#This Row],[Tax 5%]]</f>
        <v>7577.85</v>
      </c>
    </row>
    <row r="581" spans="1:10" x14ac:dyDescent="0.35">
      <c r="A581" t="s">
        <v>525</v>
      </c>
      <c r="B581" t="s">
        <v>604</v>
      </c>
      <c r="C581" t="s">
        <v>25</v>
      </c>
      <c r="D581" t="s">
        <v>26</v>
      </c>
      <c r="E581" t="s">
        <v>18</v>
      </c>
      <c r="F581" t="s">
        <v>22</v>
      </c>
      <c r="G581" s="1">
        <v>5028</v>
      </c>
      <c r="H581">
        <v>5</v>
      </c>
      <c r="I581" s="1">
        <f>supermarket_sales_new[[#This Row],[Unit price]]*supermarket_sales_new[[#This Row],[Quantity]]*5%</f>
        <v>1257</v>
      </c>
      <c r="J581" s="1">
        <f>(supermarket_sales_new[[#This Row],[Unit price]]*supermarket_sales_new[[#This Row],[Quantity]])+supermarket_sales_new[[#This Row],[Tax 5%]]</f>
        <v>26397</v>
      </c>
    </row>
    <row r="582" spans="1:10" x14ac:dyDescent="0.35">
      <c r="A582" t="s">
        <v>525</v>
      </c>
      <c r="B582" t="s">
        <v>605</v>
      </c>
      <c r="C582" t="s">
        <v>25</v>
      </c>
      <c r="D582" t="s">
        <v>26</v>
      </c>
      <c r="E582" t="s">
        <v>13</v>
      </c>
      <c r="F582" t="s">
        <v>14</v>
      </c>
      <c r="G582" s="1">
        <v>9722</v>
      </c>
      <c r="H582">
        <v>9</v>
      </c>
      <c r="I582" s="1">
        <f>supermarket_sales_new[[#This Row],[Unit price]]*supermarket_sales_new[[#This Row],[Quantity]]*5%</f>
        <v>4374.9000000000005</v>
      </c>
      <c r="J582" s="1">
        <f>(supermarket_sales_new[[#This Row],[Unit price]]*supermarket_sales_new[[#This Row],[Quantity]])+supermarket_sales_new[[#This Row],[Tax 5%]]</f>
        <v>91872.9</v>
      </c>
    </row>
    <row r="583" spans="1:10" x14ac:dyDescent="0.35">
      <c r="A583" t="s">
        <v>525</v>
      </c>
      <c r="B583" t="s">
        <v>606</v>
      </c>
      <c r="C583" t="s">
        <v>25</v>
      </c>
      <c r="D583" t="s">
        <v>26</v>
      </c>
      <c r="E583" t="s">
        <v>18</v>
      </c>
      <c r="F583" t="s">
        <v>33</v>
      </c>
      <c r="G583" s="1">
        <v>9339</v>
      </c>
      <c r="H583">
        <v>6</v>
      </c>
      <c r="I583" s="1">
        <f>supermarket_sales_new[[#This Row],[Unit price]]*supermarket_sales_new[[#This Row],[Quantity]]*5%</f>
        <v>2801.7000000000003</v>
      </c>
      <c r="J583" s="1">
        <f>(supermarket_sales_new[[#This Row],[Unit price]]*supermarket_sales_new[[#This Row],[Quantity]])+supermarket_sales_new[[#This Row],[Tax 5%]]</f>
        <v>58835.7</v>
      </c>
    </row>
    <row r="584" spans="1:10" x14ac:dyDescent="0.35">
      <c r="A584" t="s">
        <v>525</v>
      </c>
      <c r="B584" t="s">
        <v>607</v>
      </c>
      <c r="C584" t="s">
        <v>11</v>
      </c>
      <c r="D584" t="s">
        <v>12</v>
      </c>
      <c r="E584" t="s">
        <v>18</v>
      </c>
      <c r="F584" t="s">
        <v>33</v>
      </c>
      <c r="G584" s="1">
        <v>6369</v>
      </c>
      <c r="H584">
        <v>1</v>
      </c>
      <c r="I584" s="1">
        <f>supermarket_sales_new[[#This Row],[Unit price]]*supermarket_sales_new[[#This Row],[Quantity]]*5%</f>
        <v>318.45000000000005</v>
      </c>
      <c r="J584" s="1">
        <f>(supermarket_sales_new[[#This Row],[Unit price]]*supermarket_sales_new[[#This Row],[Quantity]])+supermarket_sales_new[[#This Row],[Tax 5%]]</f>
        <v>6687.45</v>
      </c>
    </row>
    <row r="585" spans="1:10" x14ac:dyDescent="0.35">
      <c r="A585" t="s">
        <v>525</v>
      </c>
      <c r="B585" t="s">
        <v>608</v>
      </c>
      <c r="C585" t="s">
        <v>11</v>
      </c>
      <c r="D585" t="s">
        <v>12</v>
      </c>
      <c r="E585" t="s">
        <v>18</v>
      </c>
      <c r="F585" t="s">
        <v>27</v>
      </c>
      <c r="G585" s="1">
        <v>4579</v>
      </c>
      <c r="H585">
        <v>7</v>
      </c>
      <c r="I585" s="1">
        <f>supermarket_sales_new[[#This Row],[Unit price]]*supermarket_sales_new[[#This Row],[Quantity]]*5%</f>
        <v>1602.65</v>
      </c>
      <c r="J585" s="1">
        <f>(supermarket_sales_new[[#This Row],[Unit price]]*supermarket_sales_new[[#This Row],[Quantity]])+supermarket_sales_new[[#This Row],[Tax 5%]]</f>
        <v>33655.65</v>
      </c>
    </row>
    <row r="586" spans="1:10" x14ac:dyDescent="0.35">
      <c r="A586" t="s">
        <v>525</v>
      </c>
      <c r="B586" t="s">
        <v>609</v>
      </c>
      <c r="C586" t="s">
        <v>16</v>
      </c>
      <c r="D586" t="s">
        <v>17</v>
      </c>
      <c r="E586" t="s">
        <v>18</v>
      </c>
      <c r="F586" t="s">
        <v>33</v>
      </c>
      <c r="G586" s="1">
        <v>764</v>
      </c>
      <c r="H586">
        <v>2</v>
      </c>
      <c r="I586" s="1">
        <f>supermarket_sales_new[[#This Row],[Unit price]]*supermarket_sales_new[[#This Row],[Quantity]]*5%</f>
        <v>76.400000000000006</v>
      </c>
      <c r="J586" s="1">
        <f>(supermarket_sales_new[[#This Row],[Unit price]]*supermarket_sales_new[[#This Row],[Quantity]])+supermarket_sales_new[[#This Row],[Tax 5%]]</f>
        <v>1604.4</v>
      </c>
    </row>
    <row r="587" spans="1:10" x14ac:dyDescent="0.35">
      <c r="A587" t="s">
        <v>525</v>
      </c>
      <c r="B587" t="s">
        <v>610</v>
      </c>
      <c r="C587" t="s">
        <v>25</v>
      </c>
      <c r="D587" t="s">
        <v>26</v>
      </c>
      <c r="E587" t="s">
        <v>18</v>
      </c>
      <c r="F587" t="s">
        <v>27</v>
      </c>
      <c r="G587" s="1">
        <v>399</v>
      </c>
      <c r="H587">
        <v>10</v>
      </c>
      <c r="I587" s="1">
        <f>supermarket_sales_new[[#This Row],[Unit price]]*supermarket_sales_new[[#This Row],[Quantity]]*5%</f>
        <v>199.5</v>
      </c>
      <c r="J587" s="1">
        <f>(supermarket_sales_new[[#This Row],[Unit price]]*supermarket_sales_new[[#This Row],[Quantity]])+supermarket_sales_new[[#This Row],[Tax 5%]]</f>
        <v>4189.5</v>
      </c>
    </row>
    <row r="588" spans="1:10" x14ac:dyDescent="0.35">
      <c r="A588" t="s">
        <v>525</v>
      </c>
      <c r="B588" t="s">
        <v>611</v>
      </c>
      <c r="C588" t="s">
        <v>25</v>
      </c>
      <c r="D588" t="s">
        <v>26</v>
      </c>
      <c r="E588" t="s">
        <v>13</v>
      </c>
      <c r="F588" t="s">
        <v>14</v>
      </c>
      <c r="G588" s="1">
        <v>4257</v>
      </c>
      <c r="H588">
        <v>8</v>
      </c>
      <c r="I588" s="1">
        <f>supermarket_sales_new[[#This Row],[Unit price]]*supermarket_sales_new[[#This Row],[Quantity]]*5%</f>
        <v>1702.8000000000002</v>
      </c>
      <c r="J588" s="1">
        <f>(supermarket_sales_new[[#This Row],[Unit price]]*supermarket_sales_new[[#This Row],[Quantity]])+supermarket_sales_new[[#This Row],[Tax 5%]]</f>
        <v>35758.800000000003</v>
      </c>
    </row>
    <row r="589" spans="1:10" x14ac:dyDescent="0.35">
      <c r="A589" t="s">
        <v>525</v>
      </c>
      <c r="B589" t="s">
        <v>612</v>
      </c>
      <c r="C589" t="s">
        <v>16</v>
      </c>
      <c r="D589" t="s">
        <v>17</v>
      </c>
      <c r="E589" t="s">
        <v>18</v>
      </c>
      <c r="F589" t="s">
        <v>22</v>
      </c>
      <c r="G589" s="1">
        <v>9558</v>
      </c>
      <c r="H589">
        <v>10</v>
      </c>
      <c r="I589" s="1">
        <f>supermarket_sales_new[[#This Row],[Unit price]]*supermarket_sales_new[[#This Row],[Quantity]]*5%</f>
        <v>4779</v>
      </c>
      <c r="J589" s="1">
        <f>(supermarket_sales_new[[#This Row],[Unit price]]*supermarket_sales_new[[#This Row],[Quantity]])+supermarket_sales_new[[#This Row],[Tax 5%]]</f>
        <v>100359</v>
      </c>
    </row>
    <row r="590" spans="1:10" x14ac:dyDescent="0.35">
      <c r="A590" t="s">
        <v>525</v>
      </c>
      <c r="B590" t="s">
        <v>613</v>
      </c>
      <c r="C590" t="s">
        <v>11</v>
      </c>
      <c r="D590" t="s">
        <v>12</v>
      </c>
      <c r="E590" t="s">
        <v>18</v>
      </c>
      <c r="F590" t="s">
        <v>29</v>
      </c>
      <c r="G590" s="1">
        <v>9898</v>
      </c>
      <c r="H590">
        <v>10</v>
      </c>
      <c r="I590" s="1">
        <f>supermarket_sales_new[[#This Row],[Unit price]]*supermarket_sales_new[[#This Row],[Quantity]]*5%</f>
        <v>4949</v>
      </c>
      <c r="J590" s="1">
        <f>(supermarket_sales_new[[#This Row],[Unit price]]*supermarket_sales_new[[#This Row],[Quantity]])+supermarket_sales_new[[#This Row],[Tax 5%]]</f>
        <v>103929</v>
      </c>
    </row>
    <row r="591" spans="1:10" x14ac:dyDescent="0.35">
      <c r="A591" t="s">
        <v>525</v>
      </c>
      <c r="B591" t="s">
        <v>614</v>
      </c>
      <c r="C591" t="s">
        <v>11</v>
      </c>
      <c r="D591" t="s">
        <v>12</v>
      </c>
      <c r="E591" t="s">
        <v>18</v>
      </c>
      <c r="F591" t="s">
        <v>27</v>
      </c>
      <c r="G591" s="1">
        <v>5128</v>
      </c>
      <c r="H591">
        <v>6</v>
      </c>
      <c r="I591" s="1">
        <f>supermarket_sales_new[[#This Row],[Unit price]]*supermarket_sales_new[[#This Row],[Quantity]]*5%</f>
        <v>1538.4</v>
      </c>
      <c r="J591" s="1">
        <f>(supermarket_sales_new[[#This Row],[Unit price]]*supermarket_sales_new[[#This Row],[Quantity]])+supermarket_sales_new[[#This Row],[Tax 5%]]</f>
        <v>32306.400000000001</v>
      </c>
    </row>
    <row r="592" spans="1:10" x14ac:dyDescent="0.35">
      <c r="A592" t="s">
        <v>525</v>
      </c>
      <c r="B592" t="s">
        <v>615</v>
      </c>
      <c r="C592" t="s">
        <v>11</v>
      </c>
      <c r="D592" t="s">
        <v>12</v>
      </c>
      <c r="E592" t="s">
        <v>13</v>
      </c>
      <c r="F592" t="s">
        <v>33</v>
      </c>
      <c r="G592" s="1">
        <v>6952</v>
      </c>
      <c r="H592">
        <v>7</v>
      </c>
      <c r="I592" s="1">
        <f>supermarket_sales_new[[#This Row],[Unit price]]*supermarket_sales_new[[#This Row],[Quantity]]*5%</f>
        <v>2433.2000000000003</v>
      </c>
      <c r="J592" s="1">
        <f>(supermarket_sales_new[[#This Row],[Unit price]]*supermarket_sales_new[[#This Row],[Quantity]])+supermarket_sales_new[[#This Row],[Tax 5%]]</f>
        <v>51097.2</v>
      </c>
    </row>
    <row r="593" spans="1:10" x14ac:dyDescent="0.35">
      <c r="A593" t="s">
        <v>525</v>
      </c>
      <c r="B593" t="s">
        <v>616</v>
      </c>
      <c r="C593" t="s">
        <v>11</v>
      </c>
      <c r="D593" t="s">
        <v>12</v>
      </c>
      <c r="E593" t="s">
        <v>18</v>
      </c>
      <c r="F593" t="s">
        <v>14</v>
      </c>
      <c r="G593" s="1">
        <v>7001</v>
      </c>
      <c r="H593">
        <v>5</v>
      </c>
      <c r="I593" s="1">
        <f>supermarket_sales_new[[#This Row],[Unit price]]*supermarket_sales_new[[#This Row],[Quantity]]*5%</f>
        <v>1750.25</v>
      </c>
      <c r="J593" s="1">
        <f>(supermarket_sales_new[[#This Row],[Unit price]]*supermarket_sales_new[[#This Row],[Quantity]])+supermarket_sales_new[[#This Row],[Tax 5%]]</f>
        <v>36755.25</v>
      </c>
    </row>
    <row r="594" spans="1:10" x14ac:dyDescent="0.35">
      <c r="A594" t="s">
        <v>525</v>
      </c>
      <c r="B594" t="s">
        <v>617</v>
      </c>
      <c r="C594" t="s">
        <v>25</v>
      </c>
      <c r="D594" t="s">
        <v>26</v>
      </c>
      <c r="E594" t="s">
        <v>13</v>
      </c>
      <c r="F594" t="s">
        <v>27</v>
      </c>
      <c r="G594" s="1">
        <v>8005</v>
      </c>
      <c r="H594">
        <v>5</v>
      </c>
      <c r="I594" s="1">
        <f>supermarket_sales_new[[#This Row],[Unit price]]*supermarket_sales_new[[#This Row],[Quantity]]*5%</f>
        <v>2001.25</v>
      </c>
      <c r="J594" s="1">
        <f>(supermarket_sales_new[[#This Row],[Unit price]]*supermarket_sales_new[[#This Row],[Quantity]])+supermarket_sales_new[[#This Row],[Tax 5%]]</f>
        <v>42026.25</v>
      </c>
    </row>
    <row r="595" spans="1:10" x14ac:dyDescent="0.35">
      <c r="A595" t="s">
        <v>525</v>
      </c>
      <c r="B595" t="s">
        <v>618</v>
      </c>
      <c r="C595" t="s">
        <v>16</v>
      </c>
      <c r="D595" t="s">
        <v>17</v>
      </c>
      <c r="E595" t="s">
        <v>18</v>
      </c>
      <c r="F595" t="s">
        <v>19</v>
      </c>
      <c r="G595" s="1">
        <v>2085</v>
      </c>
      <c r="H595">
        <v>8</v>
      </c>
      <c r="I595" s="1">
        <f>supermarket_sales_new[[#This Row],[Unit price]]*supermarket_sales_new[[#This Row],[Quantity]]*5%</f>
        <v>834</v>
      </c>
      <c r="J595" s="1">
        <f>(supermarket_sales_new[[#This Row],[Unit price]]*supermarket_sales_new[[#This Row],[Quantity]])+supermarket_sales_new[[#This Row],[Tax 5%]]</f>
        <v>17514</v>
      </c>
    </row>
    <row r="596" spans="1:10" x14ac:dyDescent="0.35">
      <c r="A596" t="s">
        <v>525</v>
      </c>
      <c r="B596" t="s">
        <v>619</v>
      </c>
      <c r="C596" t="s">
        <v>25</v>
      </c>
      <c r="D596" t="s">
        <v>26</v>
      </c>
      <c r="E596" t="s">
        <v>13</v>
      </c>
      <c r="F596" t="s">
        <v>19</v>
      </c>
      <c r="G596" s="1">
        <v>5289</v>
      </c>
      <c r="H596">
        <v>6</v>
      </c>
      <c r="I596" s="1">
        <f>supermarket_sales_new[[#This Row],[Unit price]]*supermarket_sales_new[[#This Row],[Quantity]]*5%</f>
        <v>1586.7</v>
      </c>
      <c r="J596" s="1">
        <f>(supermarket_sales_new[[#This Row],[Unit price]]*supermarket_sales_new[[#This Row],[Quantity]])+supermarket_sales_new[[#This Row],[Tax 5%]]</f>
        <v>33320.699999999997</v>
      </c>
    </row>
    <row r="597" spans="1:10" x14ac:dyDescent="0.35">
      <c r="A597" t="s">
        <v>525</v>
      </c>
      <c r="B597" t="s">
        <v>620</v>
      </c>
      <c r="C597" t="s">
        <v>25</v>
      </c>
      <c r="D597" t="s">
        <v>26</v>
      </c>
      <c r="E597" t="s">
        <v>18</v>
      </c>
      <c r="F597" t="s">
        <v>27</v>
      </c>
      <c r="G597" s="1">
        <v>1979</v>
      </c>
      <c r="H597">
        <v>8</v>
      </c>
      <c r="I597" s="1">
        <f>supermarket_sales_new[[#This Row],[Unit price]]*supermarket_sales_new[[#This Row],[Quantity]]*5%</f>
        <v>791.6</v>
      </c>
      <c r="J597" s="1">
        <f>(supermarket_sales_new[[#This Row],[Unit price]]*supermarket_sales_new[[#This Row],[Quantity]])+supermarket_sales_new[[#This Row],[Tax 5%]]</f>
        <v>16623.599999999999</v>
      </c>
    </row>
    <row r="598" spans="1:10" x14ac:dyDescent="0.35">
      <c r="A598" t="s">
        <v>525</v>
      </c>
      <c r="B598" t="s">
        <v>621</v>
      </c>
      <c r="C598" t="s">
        <v>11</v>
      </c>
      <c r="D598" t="s">
        <v>12</v>
      </c>
      <c r="E598" t="s">
        <v>13</v>
      </c>
      <c r="F598" t="s">
        <v>22</v>
      </c>
      <c r="G598" s="1">
        <v>3384</v>
      </c>
      <c r="H598">
        <v>9</v>
      </c>
      <c r="I598" s="1">
        <f>supermarket_sales_new[[#This Row],[Unit price]]*supermarket_sales_new[[#This Row],[Quantity]]*5%</f>
        <v>1522.8000000000002</v>
      </c>
      <c r="J598" s="1">
        <f>(supermarket_sales_new[[#This Row],[Unit price]]*supermarket_sales_new[[#This Row],[Quantity]])+supermarket_sales_new[[#This Row],[Tax 5%]]</f>
        <v>31978.799999999999</v>
      </c>
    </row>
    <row r="599" spans="1:10" x14ac:dyDescent="0.35">
      <c r="A599" t="s">
        <v>525</v>
      </c>
      <c r="B599" t="s">
        <v>622</v>
      </c>
      <c r="C599" t="s">
        <v>11</v>
      </c>
      <c r="D599" t="s">
        <v>12</v>
      </c>
      <c r="E599" t="s">
        <v>13</v>
      </c>
      <c r="F599" t="s">
        <v>27</v>
      </c>
      <c r="G599" s="1">
        <v>2217</v>
      </c>
      <c r="H599">
        <v>8</v>
      </c>
      <c r="I599" s="1">
        <f>supermarket_sales_new[[#This Row],[Unit price]]*supermarket_sales_new[[#This Row],[Quantity]]*5%</f>
        <v>886.80000000000007</v>
      </c>
      <c r="J599" s="1">
        <f>(supermarket_sales_new[[#This Row],[Unit price]]*supermarket_sales_new[[#This Row],[Quantity]])+supermarket_sales_new[[#This Row],[Tax 5%]]</f>
        <v>18622.8</v>
      </c>
    </row>
    <row r="600" spans="1:10" x14ac:dyDescent="0.35">
      <c r="A600" t="s">
        <v>525</v>
      </c>
      <c r="B600" t="s">
        <v>623</v>
      </c>
      <c r="C600" t="s">
        <v>11</v>
      </c>
      <c r="D600" t="s">
        <v>12</v>
      </c>
      <c r="E600" t="s">
        <v>18</v>
      </c>
      <c r="F600" t="s">
        <v>27</v>
      </c>
      <c r="G600" s="1">
        <v>7388</v>
      </c>
      <c r="H600">
        <v>6</v>
      </c>
      <c r="I600" s="1">
        <f>supermarket_sales_new[[#This Row],[Unit price]]*supermarket_sales_new[[#This Row],[Quantity]]*5%</f>
        <v>2216.4</v>
      </c>
      <c r="J600" s="1">
        <f>(supermarket_sales_new[[#This Row],[Unit price]]*supermarket_sales_new[[#This Row],[Quantity]])+supermarket_sales_new[[#This Row],[Tax 5%]]</f>
        <v>46544.4</v>
      </c>
    </row>
    <row r="601" spans="1:10" x14ac:dyDescent="0.35">
      <c r="A601" t="s">
        <v>525</v>
      </c>
      <c r="B601" t="s">
        <v>624</v>
      </c>
      <c r="C601" t="s">
        <v>16</v>
      </c>
      <c r="D601" t="s">
        <v>17</v>
      </c>
      <c r="E601" t="s">
        <v>13</v>
      </c>
      <c r="F601" t="s">
        <v>14</v>
      </c>
      <c r="G601" s="1">
        <v>868</v>
      </c>
      <c r="H601">
        <v>3</v>
      </c>
      <c r="I601" s="1">
        <f>supermarket_sales_new[[#This Row],[Unit price]]*supermarket_sales_new[[#This Row],[Quantity]]*5%</f>
        <v>130.20000000000002</v>
      </c>
      <c r="J601" s="1">
        <f>(supermarket_sales_new[[#This Row],[Unit price]]*supermarket_sales_new[[#This Row],[Quantity]])+supermarket_sales_new[[#This Row],[Tax 5%]]</f>
        <v>2734.2</v>
      </c>
    </row>
    <row r="602" spans="1:10" x14ac:dyDescent="0.35">
      <c r="A602" t="s">
        <v>525</v>
      </c>
      <c r="B602" t="s">
        <v>625</v>
      </c>
      <c r="C602" t="s">
        <v>16</v>
      </c>
      <c r="D602" t="s">
        <v>17</v>
      </c>
      <c r="E602" t="s">
        <v>18</v>
      </c>
      <c r="F602" t="s">
        <v>29</v>
      </c>
      <c r="G602" s="1">
        <v>6426</v>
      </c>
      <c r="H602">
        <v>7</v>
      </c>
      <c r="I602" s="1">
        <f>supermarket_sales_new[[#This Row],[Unit price]]*supermarket_sales_new[[#This Row],[Quantity]]*5%</f>
        <v>2249.1</v>
      </c>
      <c r="J602" s="1">
        <f>(supermarket_sales_new[[#This Row],[Unit price]]*supermarket_sales_new[[#This Row],[Quantity]])+supermarket_sales_new[[#This Row],[Tax 5%]]</f>
        <v>47231.1</v>
      </c>
    </row>
    <row r="603" spans="1:10" x14ac:dyDescent="0.35">
      <c r="A603" t="s">
        <v>525</v>
      </c>
      <c r="B603" t="s">
        <v>626</v>
      </c>
      <c r="C603" t="s">
        <v>16</v>
      </c>
      <c r="D603" t="s">
        <v>17</v>
      </c>
      <c r="E603" t="s">
        <v>13</v>
      </c>
      <c r="F603" t="s">
        <v>27</v>
      </c>
      <c r="G603" s="1">
        <v>3847</v>
      </c>
      <c r="H603">
        <v>8</v>
      </c>
      <c r="I603" s="1">
        <f>supermarket_sales_new[[#This Row],[Unit price]]*supermarket_sales_new[[#This Row],[Quantity]]*5%</f>
        <v>1538.8000000000002</v>
      </c>
      <c r="J603" s="1">
        <f>(supermarket_sales_new[[#This Row],[Unit price]]*supermarket_sales_new[[#This Row],[Quantity]])+supermarket_sales_new[[#This Row],[Tax 5%]]</f>
        <v>32314.799999999999</v>
      </c>
    </row>
    <row r="604" spans="1:10" x14ac:dyDescent="0.35">
      <c r="A604" t="s">
        <v>525</v>
      </c>
      <c r="B604" t="s">
        <v>627</v>
      </c>
      <c r="C604" t="s">
        <v>11</v>
      </c>
      <c r="D604" t="s">
        <v>12</v>
      </c>
      <c r="E604" t="s">
        <v>13</v>
      </c>
      <c r="F604" t="s">
        <v>33</v>
      </c>
      <c r="G604" s="1">
        <v>155</v>
      </c>
      <c r="H604">
        <v>10</v>
      </c>
      <c r="I604" s="1">
        <f>supermarket_sales_new[[#This Row],[Unit price]]*supermarket_sales_new[[#This Row],[Quantity]]*5%</f>
        <v>77.5</v>
      </c>
      <c r="J604" s="1">
        <f>(supermarket_sales_new[[#This Row],[Unit price]]*supermarket_sales_new[[#This Row],[Quantity]])+supermarket_sales_new[[#This Row],[Tax 5%]]</f>
        <v>1627.5</v>
      </c>
    </row>
    <row r="605" spans="1:10" x14ac:dyDescent="0.35">
      <c r="A605" t="s">
        <v>525</v>
      </c>
      <c r="B605" t="s">
        <v>628</v>
      </c>
      <c r="C605" t="s">
        <v>16</v>
      </c>
      <c r="D605" t="s">
        <v>17</v>
      </c>
      <c r="E605" t="s">
        <v>18</v>
      </c>
      <c r="F605" t="s">
        <v>14</v>
      </c>
      <c r="G605" s="1">
        <v>3431</v>
      </c>
      <c r="H605">
        <v>8</v>
      </c>
      <c r="I605" s="1">
        <f>supermarket_sales_new[[#This Row],[Unit price]]*supermarket_sales_new[[#This Row],[Quantity]]*5%</f>
        <v>1372.4</v>
      </c>
      <c r="J605" s="1">
        <f>(supermarket_sales_new[[#This Row],[Unit price]]*supermarket_sales_new[[#This Row],[Quantity]])+supermarket_sales_new[[#This Row],[Tax 5%]]</f>
        <v>28820.400000000001</v>
      </c>
    </row>
    <row r="606" spans="1:10" x14ac:dyDescent="0.35">
      <c r="A606" t="s">
        <v>525</v>
      </c>
      <c r="B606" t="s">
        <v>629</v>
      </c>
      <c r="C606" t="s">
        <v>25</v>
      </c>
      <c r="D606" t="s">
        <v>26</v>
      </c>
      <c r="E606" t="s">
        <v>13</v>
      </c>
      <c r="F606" t="s">
        <v>27</v>
      </c>
      <c r="G606" s="1">
        <v>1808</v>
      </c>
      <c r="H606">
        <v>3</v>
      </c>
      <c r="I606" s="1">
        <f>supermarket_sales_new[[#This Row],[Unit price]]*supermarket_sales_new[[#This Row],[Quantity]]*5%</f>
        <v>271.2</v>
      </c>
      <c r="J606" s="1">
        <f>(supermarket_sales_new[[#This Row],[Unit price]]*supermarket_sales_new[[#This Row],[Quantity]])+supermarket_sales_new[[#This Row],[Tax 5%]]</f>
        <v>5695.2</v>
      </c>
    </row>
    <row r="607" spans="1:10" x14ac:dyDescent="0.35">
      <c r="A607" t="s">
        <v>525</v>
      </c>
      <c r="B607" t="s">
        <v>630</v>
      </c>
      <c r="C607" t="s">
        <v>25</v>
      </c>
      <c r="D607" t="s">
        <v>26</v>
      </c>
      <c r="E607" t="s">
        <v>13</v>
      </c>
      <c r="F607" t="s">
        <v>22</v>
      </c>
      <c r="G607" s="1">
        <v>4647</v>
      </c>
      <c r="H607">
        <v>4</v>
      </c>
      <c r="I607" s="1">
        <f>supermarket_sales_new[[#This Row],[Unit price]]*supermarket_sales_new[[#This Row],[Quantity]]*5%</f>
        <v>929.40000000000009</v>
      </c>
      <c r="J607" s="1">
        <f>(supermarket_sales_new[[#This Row],[Unit price]]*supermarket_sales_new[[#This Row],[Quantity]])+supermarket_sales_new[[#This Row],[Tax 5%]]</f>
        <v>19517.400000000001</v>
      </c>
    </row>
    <row r="608" spans="1:10" x14ac:dyDescent="0.35">
      <c r="A608" t="s">
        <v>525</v>
      </c>
      <c r="B608" t="s">
        <v>631</v>
      </c>
      <c r="C608" t="s">
        <v>11</v>
      </c>
      <c r="D608" t="s">
        <v>12</v>
      </c>
      <c r="E608" t="s">
        <v>18</v>
      </c>
      <c r="F608" t="s">
        <v>22</v>
      </c>
      <c r="G608" s="1">
        <v>7407</v>
      </c>
      <c r="H608">
        <v>1</v>
      </c>
      <c r="I608" s="1">
        <f>supermarket_sales_new[[#This Row],[Unit price]]*supermarket_sales_new[[#This Row],[Quantity]]*5%</f>
        <v>370.35</v>
      </c>
      <c r="J608" s="1">
        <f>(supermarket_sales_new[[#This Row],[Unit price]]*supermarket_sales_new[[#This Row],[Quantity]])+supermarket_sales_new[[#This Row],[Tax 5%]]</f>
        <v>7777.35</v>
      </c>
    </row>
    <row r="609" spans="1:10" x14ac:dyDescent="0.35">
      <c r="A609" t="s">
        <v>525</v>
      </c>
      <c r="B609" t="s">
        <v>632</v>
      </c>
      <c r="C609" t="s">
        <v>25</v>
      </c>
      <c r="D609" t="s">
        <v>26</v>
      </c>
      <c r="E609" t="s">
        <v>18</v>
      </c>
      <c r="F609" t="s">
        <v>22</v>
      </c>
      <c r="G609" s="1">
        <v>2555</v>
      </c>
      <c r="H609">
        <v>4</v>
      </c>
      <c r="I609" s="1">
        <f>supermarket_sales_new[[#This Row],[Unit price]]*supermarket_sales_new[[#This Row],[Quantity]]*5%</f>
        <v>511</v>
      </c>
      <c r="J609" s="1">
        <f>(supermarket_sales_new[[#This Row],[Unit price]]*supermarket_sales_new[[#This Row],[Quantity]])+supermarket_sales_new[[#This Row],[Tax 5%]]</f>
        <v>10731</v>
      </c>
    </row>
    <row r="610" spans="1:10" x14ac:dyDescent="0.35">
      <c r="A610" t="s">
        <v>525</v>
      </c>
      <c r="B610" t="s">
        <v>633</v>
      </c>
      <c r="C610" t="s">
        <v>11</v>
      </c>
      <c r="D610" t="s">
        <v>12</v>
      </c>
      <c r="E610" t="s">
        <v>18</v>
      </c>
      <c r="F610" t="s">
        <v>19</v>
      </c>
      <c r="G610" s="1">
        <v>3271</v>
      </c>
      <c r="H610">
        <v>5</v>
      </c>
      <c r="I610" s="1">
        <f>supermarket_sales_new[[#This Row],[Unit price]]*supermarket_sales_new[[#This Row],[Quantity]]*5%</f>
        <v>817.75</v>
      </c>
      <c r="J610" s="1">
        <f>(supermarket_sales_new[[#This Row],[Unit price]]*supermarket_sales_new[[#This Row],[Quantity]])+supermarket_sales_new[[#This Row],[Tax 5%]]</f>
        <v>17172.75</v>
      </c>
    </row>
    <row r="611" spans="1:10" x14ac:dyDescent="0.35">
      <c r="A611" t="s">
        <v>525</v>
      </c>
      <c r="B611" t="s">
        <v>634</v>
      </c>
      <c r="C611" t="s">
        <v>16</v>
      </c>
      <c r="D611" t="s">
        <v>17</v>
      </c>
      <c r="E611" t="s">
        <v>13</v>
      </c>
      <c r="F611" t="s">
        <v>14</v>
      </c>
      <c r="G611" s="1">
        <v>437</v>
      </c>
      <c r="H611">
        <v>2</v>
      </c>
      <c r="I611" s="1">
        <f>supermarket_sales_new[[#This Row],[Unit price]]*supermarket_sales_new[[#This Row],[Quantity]]*5%</f>
        <v>43.7</v>
      </c>
      <c r="J611" s="1">
        <f>(supermarket_sales_new[[#This Row],[Unit price]]*supermarket_sales_new[[#This Row],[Quantity]])+supermarket_sales_new[[#This Row],[Tax 5%]]</f>
        <v>917.7</v>
      </c>
    </row>
    <row r="612" spans="1:10" x14ac:dyDescent="0.35">
      <c r="A612" t="s">
        <v>525</v>
      </c>
      <c r="B612" t="s">
        <v>635</v>
      </c>
      <c r="C612" t="s">
        <v>16</v>
      </c>
      <c r="D612" t="s">
        <v>17</v>
      </c>
      <c r="E612" t="s">
        <v>18</v>
      </c>
      <c r="F612" t="s">
        <v>14</v>
      </c>
      <c r="G612" s="1">
        <v>415</v>
      </c>
      <c r="H612">
        <v>4</v>
      </c>
      <c r="I612" s="1">
        <f>supermarket_sales_new[[#This Row],[Unit price]]*supermarket_sales_new[[#This Row],[Quantity]]*5%</f>
        <v>83</v>
      </c>
      <c r="J612" s="1">
        <f>(supermarket_sales_new[[#This Row],[Unit price]]*supermarket_sales_new[[#This Row],[Quantity]])+supermarket_sales_new[[#This Row],[Tax 5%]]</f>
        <v>1743</v>
      </c>
    </row>
    <row r="613" spans="1:10" x14ac:dyDescent="0.35">
      <c r="A613" t="s">
        <v>525</v>
      </c>
      <c r="B613" t="s">
        <v>636</v>
      </c>
      <c r="C613" t="s">
        <v>16</v>
      </c>
      <c r="D613" t="s">
        <v>17</v>
      </c>
      <c r="E613" t="s">
        <v>18</v>
      </c>
      <c r="F613" t="s">
        <v>19</v>
      </c>
      <c r="G613" s="1">
        <v>6141</v>
      </c>
      <c r="H613">
        <v>7</v>
      </c>
      <c r="I613" s="1">
        <f>supermarket_sales_new[[#This Row],[Unit price]]*supermarket_sales_new[[#This Row],[Quantity]]*5%</f>
        <v>2149.35</v>
      </c>
      <c r="J613" s="1">
        <f>(supermarket_sales_new[[#This Row],[Unit price]]*supermarket_sales_new[[#This Row],[Quantity]])+supermarket_sales_new[[#This Row],[Tax 5%]]</f>
        <v>45136.35</v>
      </c>
    </row>
    <row r="614" spans="1:10" x14ac:dyDescent="0.35">
      <c r="A614" t="s">
        <v>525</v>
      </c>
      <c r="B614" t="s">
        <v>637</v>
      </c>
      <c r="C614" t="s">
        <v>25</v>
      </c>
      <c r="D614" t="s">
        <v>26</v>
      </c>
      <c r="E614" t="s">
        <v>13</v>
      </c>
      <c r="F614" t="s">
        <v>14</v>
      </c>
      <c r="G614" s="1">
        <v>259</v>
      </c>
      <c r="H614">
        <v>10</v>
      </c>
      <c r="I614" s="1">
        <f>supermarket_sales_new[[#This Row],[Unit price]]*supermarket_sales_new[[#This Row],[Quantity]]*5%</f>
        <v>129.5</v>
      </c>
      <c r="J614" s="1">
        <f>(supermarket_sales_new[[#This Row],[Unit price]]*supermarket_sales_new[[#This Row],[Quantity]])+supermarket_sales_new[[#This Row],[Tax 5%]]</f>
        <v>2719.5</v>
      </c>
    </row>
    <row r="615" spans="1:10" x14ac:dyDescent="0.35">
      <c r="A615" t="s">
        <v>525</v>
      </c>
      <c r="B615" t="s">
        <v>638</v>
      </c>
      <c r="C615" t="s">
        <v>25</v>
      </c>
      <c r="D615" t="s">
        <v>26</v>
      </c>
      <c r="E615" t="s">
        <v>13</v>
      </c>
      <c r="F615" t="s">
        <v>22</v>
      </c>
      <c r="G615" s="1">
        <v>1777</v>
      </c>
      <c r="H615">
        <v>5</v>
      </c>
      <c r="I615" s="1">
        <f>supermarket_sales_new[[#This Row],[Unit price]]*supermarket_sales_new[[#This Row],[Quantity]]*5%</f>
        <v>444.25</v>
      </c>
      <c r="J615" s="1">
        <f>(supermarket_sales_new[[#This Row],[Unit price]]*supermarket_sales_new[[#This Row],[Quantity]])+supermarket_sales_new[[#This Row],[Tax 5%]]</f>
        <v>9329.25</v>
      </c>
    </row>
    <row r="616" spans="1:10" x14ac:dyDescent="0.35">
      <c r="A616" t="s">
        <v>525</v>
      </c>
      <c r="B616" t="s">
        <v>639</v>
      </c>
      <c r="C616" t="s">
        <v>11</v>
      </c>
      <c r="D616" t="s">
        <v>12</v>
      </c>
      <c r="E616" t="s">
        <v>18</v>
      </c>
      <c r="F616" t="s">
        <v>19</v>
      </c>
      <c r="G616" s="1">
        <v>2623</v>
      </c>
      <c r="H616">
        <v>9</v>
      </c>
      <c r="I616" s="1">
        <f>supermarket_sales_new[[#This Row],[Unit price]]*supermarket_sales_new[[#This Row],[Quantity]]*5%</f>
        <v>1180.3500000000001</v>
      </c>
      <c r="J616" s="1">
        <f>(supermarket_sales_new[[#This Row],[Unit price]]*supermarket_sales_new[[#This Row],[Quantity]])+supermarket_sales_new[[#This Row],[Tax 5%]]</f>
        <v>24787.35</v>
      </c>
    </row>
    <row r="617" spans="1:10" x14ac:dyDescent="0.35">
      <c r="A617" t="s">
        <v>525</v>
      </c>
      <c r="B617" t="s">
        <v>640</v>
      </c>
      <c r="C617" t="s">
        <v>25</v>
      </c>
      <c r="D617" t="s">
        <v>26</v>
      </c>
      <c r="E617" t="s">
        <v>18</v>
      </c>
      <c r="F617" t="s">
        <v>22</v>
      </c>
      <c r="G617" s="1">
        <v>9236</v>
      </c>
      <c r="H617">
        <v>5</v>
      </c>
      <c r="I617" s="1">
        <f>supermarket_sales_new[[#This Row],[Unit price]]*supermarket_sales_new[[#This Row],[Quantity]]*5%</f>
        <v>2309</v>
      </c>
      <c r="J617" s="1">
        <f>(supermarket_sales_new[[#This Row],[Unit price]]*supermarket_sales_new[[#This Row],[Quantity]])+supermarket_sales_new[[#This Row],[Tax 5%]]</f>
        <v>48489</v>
      </c>
    </row>
    <row r="618" spans="1:10" x14ac:dyDescent="0.35">
      <c r="A618" t="s">
        <v>525</v>
      </c>
      <c r="B618" t="s">
        <v>641</v>
      </c>
      <c r="C618" t="s">
        <v>25</v>
      </c>
      <c r="D618" t="s">
        <v>26</v>
      </c>
      <c r="E618" t="s">
        <v>18</v>
      </c>
      <c r="F618" t="s">
        <v>33</v>
      </c>
      <c r="G618" s="1">
        <v>4642</v>
      </c>
      <c r="H618">
        <v>3</v>
      </c>
      <c r="I618" s="1">
        <f>supermarket_sales_new[[#This Row],[Unit price]]*supermarket_sales_new[[#This Row],[Quantity]]*5%</f>
        <v>696.30000000000007</v>
      </c>
      <c r="J618" s="1">
        <f>(supermarket_sales_new[[#This Row],[Unit price]]*supermarket_sales_new[[#This Row],[Quantity]])+supermarket_sales_new[[#This Row],[Tax 5%]]</f>
        <v>14622.3</v>
      </c>
    </row>
    <row r="619" spans="1:10" x14ac:dyDescent="0.35">
      <c r="A619" t="s">
        <v>525</v>
      </c>
      <c r="B619" t="s">
        <v>642</v>
      </c>
      <c r="C619" t="s">
        <v>11</v>
      </c>
      <c r="D619" t="s">
        <v>12</v>
      </c>
      <c r="E619" t="s">
        <v>18</v>
      </c>
      <c r="F619" t="s">
        <v>22</v>
      </c>
      <c r="G619" s="1">
        <v>1828</v>
      </c>
      <c r="H619">
        <v>1</v>
      </c>
      <c r="I619" s="1">
        <f>supermarket_sales_new[[#This Row],[Unit price]]*supermarket_sales_new[[#This Row],[Quantity]]*5%</f>
        <v>91.4</v>
      </c>
      <c r="J619" s="1">
        <f>(supermarket_sales_new[[#This Row],[Unit price]]*supermarket_sales_new[[#This Row],[Quantity]])+supermarket_sales_new[[#This Row],[Tax 5%]]</f>
        <v>1919.4</v>
      </c>
    </row>
    <row r="620" spans="1:10" x14ac:dyDescent="0.35">
      <c r="A620" t="s">
        <v>525</v>
      </c>
      <c r="B620" t="s">
        <v>643</v>
      </c>
      <c r="C620" t="s">
        <v>25</v>
      </c>
      <c r="D620" t="s">
        <v>26</v>
      </c>
      <c r="E620" t="s">
        <v>18</v>
      </c>
      <c r="F620" t="s">
        <v>29</v>
      </c>
      <c r="G620" s="1">
        <v>9487</v>
      </c>
      <c r="H620">
        <v>8</v>
      </c>
      <c r="I620" s="1">
        <f>supermarket_sales_new[[#This Row],[Unit price]]*supermarket_sales_new[[#This Row],[Quantity]]*5%</f>
        <v>3794.8</v>
      </c>
      <c r="J620" s="1">
        <f>(supermarket_sales_new[[#This Row],[Unit price]]*supermarket_sales_new[[#This Row],[Quantity]])+supermarket_sales_new[[#This Row],[Tax 5%]]</f>
        <v>79690.8</v>
      </c>
    </row>
    <row r="621" spans="1:10" x14ac:dyDescent="0.35">
      <c r="A621" t="s">
        <v>525</v>
      </c>
      <c r="B621" t="s">
        <v>644</v>
      </c>
      <c r="C621" t="s">
        <v>25</v>
      </c>
      <c r="D621" t="s">
        <v>26</v>
      </c>
      <c r="E621" t="s">
        <v>18</v>
      </c>
      <c r="F621" t="s">
        <v>19</v>
      </c>
      <c r="G621" s="1">
        <v>4535</v>
      </c>
      <c r="H621">
        <v>6</v>
      </c>
      <c r="I621" s="1">
        <f>supermarket_sales_new[[#This Row],[Unit price]]*supermarket_sales_new[[#This Row],[Quantity]]*5%</f>
        <v>1360.5</v>
      </c>
      <c r="J621" s="1">
        <f>(supermarket_sales_new[[#This Row],[Unit price]]*supermarket_sales_new[[#This Row],[Quantity]])+supermarket_sales_new[[#This Row],[Tax 5%]]</f>
        <v>28570.5</v>
      </c>
    </row>
    <row r="622" spans="1:10" x14ac:dyDescent="0.35">
      <c r="A622" t="s">
        <v>525</v>
      </c>
      <c r="B622" t="s">
        <v>645</v>
      </c>
      <c r="C622" t="s">
        <v>25</v>
      </c>
      <c r="D622" t="s">
        <v>26</v>
      </c>
      <c r="E622" t="s">
        <v>18</v>
      </c>
      <c r="F622" t="s">
        <v>27</v>
      </c>
      <c r="G622" s="1">
        <v>6208</v>
      </c>
      <c r="H622">
        <v>7</v>
      </c>
      <c r="I622" s="1">
        <f>supermarket_sales_new[[#This Row],[Unit price]]*supermarket_sales_new[[#This Row],[Quantity]]*5%</f>
        <v>2172.8000000000002</v>
      </c>
      <c r="J622" s="1">
        <f>(supermarket_sales_new[[#This Row],[Unit price]]*supermarket_sales_new[[#This Row],[Quantity]])+supermarket_sales_new[[#This Row],[Tax 5%]]</f>
        <v>45628.800000000003</v>
      </c>
    </row>
    <row r="623" spans="1:10" x14ac:dyDescent="0.35">
      <c r="A623" t="s">
        <v>525</v>
      </c>
      <c r="B623" t="s">
        <v>646</v>
      </c>
      <c r="C623" t="s">
        <v>16</v>
      </c>
      <c r="D623" t="s">
        <v>17</v>
      </c>
      <c r="E623" t="s">
        <v>18</v>
      </c>
      <c r="F623" t="s">
        <v>19</v>
      </c>
      <c r="G623" s="1">
        <v>1181</v>
      </c>
      <c r="H623">
        <v>5</v>
      </c>
      <c r="I623" s="1">
        <f>supermarket_sales_new[[#This Row],[Unit price]]*supermarket_sales_new[[#This Row],[Quantity]]*5%</f>
        <v>295.25</v>
      </c>
      <c r="J623" s="1">
        <f>(supermarket_sales_new[[#This Row],[Unit price]]*supermarket_sales_new[[#This Row],[Quantity]])+supermarket_sales_new[[#This Row],[Tax 5%]]</f>
        <v>6200.25</v>
      </c>
    </row>
    <row r="624" spans="1:10" x14ac:dyDescent="0.35">
      <c r="A624" t="s">
        <v>525</v>
      </c>
      <c r="B624" t="s">
        <v>647</v>
      </c>
      <c r="C624" t="s">
        <v>11</v>
      </c>
      <c r="D624" t="s">
        <v>12</v>
      </c>
      <c r="E624" t="s">
        <v>18</v>
      </c>
      <c r="F624" t="s">
        <v>27</v>
      </c>
      <c r="G624" s="1">
        <v>4325</v>
      </c>
      <c r="H624">
        <v>2</v>
      </c>
      <c r="I624" s="1">
        <f>supermarket_sales_new[[#This Row],[Unit price]]*supermarket_sales_new[[#This Row],[Quantity]]*5%</f>
        <v>432.5</v>
      </c>
      <c r="J624" s="1">
        <f>(supermarket_sales_new[[#This Row],[Unit price]]*supermarket_sales_new[[#This Row],[Quantity]])+supermarket_sales_new[[#This Row],[Tax 5%]]</f>
        <v>9082.5</v>
      </c>
    </row>
    <row r="625" spans="1:10" x14ac:dyDescent="0.35">
      <c r="A625" t="s">
        <v>525</v>
      </c>
      <c r="B625" t="s">
        <v>648</v>
      </c>
      <c r="C625" t="s">
        <v>25</v>
      </c>
      <c r="D625" t="s">
        <v>26</v>
      </c>
      <c r="E625" t="s">
        <v>13</v>
      </c>
      <c r="F625" t="s">
        <v>14</v>
      </c>
      <c r="G625" s="1">
        <v>6937</v>
      </c>
      <c r="H625">
        <v>9</v>
      </c>
      <c r="I625" s="1">
        <f>supermarket_sales_new[[#This Row],[Unit price]]*supermarket_sales_new[[#This Row],[Quantity]]*5%</f>
        <v>3121.65</v>
      </c>
      <c r="J625" s="1">
        <f>(supermarket_sales_new[[#This Row],[Unit price]]*supermarket_sales_new[[#This Row],[Quantity]])+supermarket_sales_new[[#This Row],[Tax 5%]]</f>
        <v>65554.649999999994</v>
      </c>
    </row>
    <row r="626" spans="1:10" x14ac:dyDescent="0.35">
      <c r="A626" t="s">
        <v>525</v>
      </c>
      <c r="B626" t="s">
        <v>649</v>
      </c>
      <c r="C626" t="s">
        <v>16</v>
      </c>
      <c r="D626" t="s">
        <v>17</v>
      </c>
      <c r="E626" t="s">
        <v>13</v>
      </c>
      <c r="F626" t="s">
        <v>19</v>
      </c>
      <c r="G626" s="1">
        <v>3706</v>
      </c>
      <c r="H626">
        <v>4</v>
      </c>
      <c r="I626" s="1">
        <f>supermarket_sales_new[[#This Row],[Unit price]]*supermarket_sales_new[[#This Row],[Quantity]]*5%</f>
        <v>741.2</v>
      </c>
      <c r="J626" s="1">
        <f>(supermarket_sales_new[[#This Row],[Unit price]]*supermarket_sales_new[[#This Row],[Quantity]])+supermarket_sales_new[[#This Row],[Tax 5%]]</f>
        <v>15565.2</v>
      </c>
    </row>
    <row r="627" spans="1:10" x14ac:dyDescent="0.35">
      <c r="A627" t="s">
        <v>525</v>
      </c>
      <c r="B627" t="s">
        <v>650</v>
      </c>
      <c r="C627" t="s">
        <v>25</v>
      </c>
      <c r="D627" t="s">
        <v>26</v>
      </c>
      <c r="E627" t="s">
        <v>13</v>
      </c>
      <c r="F627" t="s">
        <v>29</v>
      </c>
      <c r="G627" s="1">
        <v>7382</v>
      </c>
      <c r="H627">
        <v>4</v>
      </c>
      <c r="I627" s="1">
        <f>supermarket_sales_new[[#This Row],[Unit price]]*supermarket_sales_new[[#This Row],[Quantity]]*5%</f>
        <v>1476.4</v>
      </c>
      <c r="J627" s="1">
        <f>(supermarket_sales_new[[#This Row],[Unit price]]*supermarket_sales_new[[#This Row],[Quantity]])+supermarket_sales_new[[#This Row],[Tax 5%]]</f>
        <v>31004.400000000001</v>
      </c>
    </row>
    <row r="628" spans="1:10" x14ac:dyDescent="0.35">
      <c r="A628" t="s">
        <v>525</v>
      </c>
      <c r="B628" t="s">
        <v>651</v>
      </c>
      <c r="C628" t="s">
        <v>11</v>
      </c>
      <c r="D628" t="s">
        <v>12</v>
      </c>
      <c r="E628" t="s">
        <v>13</v>
      </c>
      <c r="F628" t="s">
        <v>14</v>
      </c>
      <c r="G628" s="1">
        <v>5194</v>
      </c>
      <c r="H628">
        <v>10</v>
      </c>
      <c r="I628" s="1">
        <f>supermarket_sales_new[[#This Row],[Unit price]]*supermarket_sales_new[[#This Row],[Quantity]]*5%</f>
        <v>2597</v>
      </c>
      <c r="J628" s="1">
        <f>(supermarket_sales_new[[#This Row],[Unit price]]*supermarket_sales_new[[#This Row],[Quantity]])+supermarket_sales_new[[#This Row],[Tax 5%]]</f>
        <v>54537</v>
      </c>
    </row>
    <row r="629" spans="1:10" x14ac:dyDescent="0.35">
      <c r="A629" t="s">
        <v>525</v>
      </c>
      <c r="B629" t="s">
        <v>652</v>
      </c>
      <c r="C629" t="s">
        <v>16</v>
      </c>
      <c r="D629" t="s">
        <v>17</v>
      </c>
      <c r="E629" t="s">
        <v>18</v>
      </c>
      <c r="F629" t="s">
        <v>14</v>
      </c>
      <c r="G629" s="1">
        <v>1741</v>
      </c>
      <c r="H629">
        <v>5</v>
      </c>
      <c r="I629" s="1">
        <f>supermarket_sales_new[[#This Row],[Unit price]]*supermarket_sales_new[[#This Row],[Quantity]]*5%</f>
        <v>435.25</v>
      </c>
      <c r="J629" s="1">
        <f>(supermarket_sales_new[[#This Row],[Unit price]]*supermarket_sales_new[[#This Row],[Quantity]])+supermarket_sales_new[[#This Row],[Tax 5%]]</f>
        <v>9140.25</v>
      </c>
    </row>
    <row r="630" spans="1:10" x14ac:dyDescent="0.35">
      <c r="A630" t="s">
        <v>525</v>
      </c>
      <c r="B630" t="s">
        <v>653</v>
      </c>
      <c r="C630" t="s">
        <v>11</v>
      </c>
      <c r="D630" t="s">
        <v>12</v>
      </c>
      <c r="E630" t="s">
        <v>18</v>
      </c>
      <c r="F630" t="s">
        <v>29</v>
      </c>
      <c r="G630" s="1">
        <v>8969</v>
      </c>
      <c r="H630">
        <v>1</v>
      </c>
      <c r="I630" s="1">
        <f>supermarket_sales_new[[#This Row],[Unit price]]*supermarket_sales_new[[#This Row],[Quantity]]*5%</f>
        <v>448.45000000000005</v>
      </c>
      <c r="J630" s="1">
        <f>(supermarket_sales_new[[#This Row],[Unit price]]*supermarket_sales_new[[#This Row],[Quantity]])+supermarket_sales_new[[#This Row],[Tax 5%]]</f>
        <v>9417.4500000000007</v>
      </c>
    </row>
    <row r="631" spans="1:10" x14ac:dyDescent="0.35">
      <c r="A631" t="s">
        <v>525</v>
      </c>
      <c r="B631" t="s">
        <v>654</v>
      </c>
      <c r="C631" t="s">
        <v>11</v>
      </c>
      <c r="D631" t="s">
        <v>12</v>
      </c>
      <c r="E631" t="s">
        <v>18</v>
      </c>
      <c r="F631" t="s">
        <v>27</v>
      </c>
      <c r="G631" s="1">
        <v>2494</v>
      </c>
      <c r="H631">
        <v>9</v>
      </c>
      <c r="I631" s="1">
        <f>supermarket_sales_new[[#This Row],[Unit price]]*supermarket_sales_new[[#This Row],[Quantity]]*5%</f>
        <v>1122.3</v>
      </c>
      <c r="J631" s="1">
        <f>(supermarket_sales_new[[#This Row],[Unit price]]*supermarket_sales_new[[#This Row],[Quantity]])+supermarket_sales_new[[#This Row],[Tax 5%]]</f>
        <v>23568.3</v>
      </c>
    </row>
    <row r="632" spans="1:10" x14ac:dyDescent="0.35">
      <c r="A632" t="s">
        <v>525</v>
      </c>
      <c r="B632" t="s">
        <v>655</v>
      </c>
      <c r="C632" t="s">
        <v>11</v>
      </c>
      <c r="D632" t="s">
        <v>12</v>
      </c>
      <c r="E632" t="s">
        <v>18</v>
      </c>
      <c r="F632" t="s">
        <v>14</v>
      </c>
      <c r="G632" s="1">
        <v>5977</v>
      </c>
      <c r="H632">
        <v>2</v>
      </c>
      <c r="I632" s="1">
        <f>supermarket_sales_new[[#This Row],[Unit price]]*supermarket_sales_new[[#This Row],[Quantity]]*5%</f>
        <v>597.70000000000005</v>
      </c>
      <c r="J632" s="1">
        <f>(supermarket_sales_new[[#This Row],[Unit price]]*supermarket_sales_new[[#This Row],[Quantity]])+supermarket_sales_new[[#This Row],[Tax 5%]]</f>
        <v>12551.7</v>
      </c>
    </row>
    <row r="633" spans="1:10" x14ac:dyDescent="0.35">
      <c r="A633" t="s">
        <v>525</v>
      </c>
      <c r="B633" t="s">
        <v>656</v>
      </c>
      <c r="C633" t="s">
        <v>16</v>
      </c>
      <c r="D633" t="s">
        <v>17</v>
      </c>
      <c r="E633" t="s">
        <v>13</v>
      </c>
      <c r="F633" t="s">
        <v>29</v>
      </c>
      <c r="G633" s="1">
        <v>932</v>
      </c>
      <c r="H633">
        <v>2</v>
      </c>
      <c r="I633" s="1">
        <f>supermarket_sales_new[[#This Row],[Unit price]]*supermarket_sales_new[[#This Row],[Quantity]]*5%</f>
        <v>93.2</v>
      </c>
      <c r="J633" s="1">
        <f>(supermarket_sales_new[[#This Row],[Unit price]]*supermarket_sales_new[[#This Row],[Quantity]])+supermarket_sales_new[[#This Row],[Tax 5%]]</f>
        <v>1957.2</v>
      </c>
    </row>
    <row r="634" spans="1:10" x14ac:dyDescent="0.35">
      <c r="A634" t="s">
        <v>525</v>
      </c>
      <c r="B634" t="s">
        <v>657</v>
      </c>
      <c r="C634" t="s">
        <v>11</v>
      </c>
      <c r="D634" t="s">
        <v>12</v>
      </c>
      <c r="E634" t="s">
        <v>13</v>
      </c>
      <c r="F634" t="s">
        <v>22</v>
      </c>
      <c r="G634" s="1">
        <v>6265</v>
      </c>
      <c r="H634">
        <v>4</v>
      </c>
      <c r="I634" s="1">
        <f>supermarket_sales_new[[#This Row],[Unit price]]*supermarket_sales_new[[#This Row],[Quantity]]*5%</f>
        <v>1253</v>
      </c>
      <c r="J634" s="1">
        <f>(supermarket_sales_new[[#This Row],[Unit price]]*supermarket_sales_new[[#This Row],[Quantity]])+supermarket_sales_new[[#This Row],[Tax 5%]]</f>
        <v>26313</v>
      </c>
    </row>
    <row r="635" spans="1:10" x14ac:dyDescent="0.35">
      <c r="A635" t="s">
        <v>525</v>
      </c>
      <c r="B635" t="s">
        <v>658</v>
      </c>
      <c r="C635" t="s">
        <v>25</v>
      </c>
      <c r="D635" t="s">
        <v>26</v>
      </c>
      <c r="E635" t="s">
        <v>18</v>
      </c>
      <c r="F635" t="s">
        <v>22</v>
      </c>
      <c r="G635" s="1">
        <v>9387</v>
      </c>
      <c r="H635">
        <v>8</v>
      </c>
      <c r="I635" s="1">
        <f>supermarket_sales_new[[#This Row],[Unit price]]*supermarket_sales_new[[#This Row],[Quantity]]*5%</f>
        <v>3754.8</v>
      </c>
      <c r="J635" s="1">
        <f>(supermarket_sales_new[[#This Row],[Unit price]]*supermarket_sales_new[[#This Row],[Quantity]])+supermarket_sales_new[[#This Row],[Tax 5%]]</f>
        <v>78850.8</v>
      </c>
    </row>
    <row r="636" spans="1:10" x14ac:dyDescent="0.35">
      <c r="A636" t="s">
        <v>525</v>
      </c>
      <c r="B636" t="s">
        <v>659</v>
      </c>
      <c r="C636" t="s">
        <v>11</v>
      </c>
      <c r="D636" t="s">
        <v>12</v>
      </c>
      <c r="E636" t="s">
        <v>13</v>
      </c>
      <c r="F636" t="s">
        <v>22</v>
      </c>
      <c r="G636" s="1">
        <v>4759</v>
      </c>
      <c r="H636">
        <v>8</v>
      </c>
      <c r="I636" s="1">
        <f>supermarket_sales_new[[#This Row],[Unit price]]*supermarket_sales_new[[#This Row],[Quantity]]*5%</f>
        <v>1903.6000000000001</v>
      </c>
      <c r="J636" s="1">
        <f>(supermarket_sales_new[[#This Row],[Unit price]]*supermarket_sales_new[[#This Row],[Quantity]])+supermarket_sales_new[[#This Row],[Tax 5%]]</f>
        <v>39975.599999999999</v>
      </c>
    </row>
    <row r="637" spans="1:10" x14ac:dyDescent="0.35">
      <c r="A637" t="s">
        <v>525</v>
      </c>
      <c r="B637" t="s">
        <v>660</v>
      </c>
      <c r="C637" t="s">
        <v>11</v>
      </c>
      <c r="D637" t="s">
        <v>12</v>
      </c>
      <c r="E637" t="s">
        <v>13</v>
      </c>
      <c r="F637" t="s">
        <v>29</v>
      </c>
      <c r="G637" s="1">
        <v>1794</v>
      </c>
      <c r="H637">
        <v>5</v>
      </c>
      <c r="I637" s="1">
        <f>supermarket_sales_new[[#This Row],[Unit price]]*supermarket_sales_new[[#This Row],[Quantity]]*5%</f>
        <v>448.5</v>
      </c>
      <c r="J637" s="1">
        <f>(supermarket_sales_new[[#This Row],[Unit price]]*supermarket_sales_new[[#This Row],[Quantity]])+supermarket_sales_new[[#This Row],[Tax 5%]]</f>
        <v>9418.5</v>
      </c>
    </row>
    <row r="638" spans="1:10" x14ac:dyDescent="0.35">
      <c r="A638" t="s">
        <v>525</v>
      </c>
      <c r="B638" t="s">
        <v>661</v>
      </c>
      <c r="C638" t="s">
        <v>11</v>
      </c>
      <c r="D638" t="s">
        <v>12</v>
      </c>
      <c r="E638" t="s">
        <v>13</v>
      </c>
      <c r="F638" t="s">
        <v>19</v>
      </c>
      <c r="G638" s="1">
        <v>7772</v>
      </c>
      <c r="H638">
        <v>4</v>
      </c>
      <c r="I638" s="1">
        <f>supermarket_sales_new[[#This Row],[Unit price]]*supermarket_sales_new[[#This Row],[Quantity]]*5%</f>
        <v>1554.4</v>
      </c>
      <c r="J638" s="1">
        <f>(supermarket_sales_new[[#This Row],[Unit price]]*supermarket_sales_new[[#This Row],[Quantity]])+supermarket_sales_new[[#This Row],[Tax 5%]]</f>
        <v>32642.400000000001</v>
      </c>
    </row>
    <row r="639" spans="1:10" x14ac:dyDescent="0.35">
      <c r="A639" t="s">
        <v>525</v>
      </c>
      <c r="B639" t="s">
        <v>662</v>
      </c>
      <c r="C639" t="s">
        <v>25</v>
      </c>
      <c r="D639" t="s">
        <v>26</v>
      </c>
      <c r="E639" t="s">
        <v>18</v>
      </c>
      <c r="F639" t="s">
        <v>27</v>
      </c>
      <c r="G639" s="1">
        <v>7306</v>
      </c>
      <c r="H639">
        <v>7</v>
      </c>
      <c r="I639" s="1">
        <f>supermarket_sales_new[[#This Row],[Unit price]]*supermarket_sales_new[[#This Row],[Quantity]]*5%</f>
        <v>2557.1000000000004</v>
      </c>
      <c r="J639" s="1">
        <f>(supermarket_sales_new[[#This Row],[Unit price]]*supermarket_sales_new[[#This Row],[Quantity]])+supermarket_sales_new[[#This Row],[Tax 5%]]</f>
        <v>53699.1</v>
      </c>
    </row>
    <row r="640" spans="1:10" x14ac:dyDescent="0.35">
      <c r="A640" t="s">
        <v>525</v>
      </c>
      <c r="B640" t="s">
        <v>663</v>
      </c>
      <c r="C640" t="s">
        <v>25</v>
      </c>
      <c r="D640" t="s">
        <v>26</v>
      </c>
      <c r="E640" t="s">
        <v>13</v>
      </c>
      <c r="F640" t="s">
        <v>27</v>
      </c>
      <c r="G640" s="1">
        <v>4655</v>
      </c>
      <c r="H640">
        <v>9</v>
      </c>
      <c r="I640" s="1">
        <f>supermarket_sales_new[[#This Row],[Unit price]]*supermarket_sales_new[[#This Row],[Quantity]]*5%</f>
        <v>2094.75</v>
      </c>
      <c r="J640" s="1">
        <f>(supermarket_sales_new[[#This Row],[Unit price]]*supermarket_sales_new[[#This Row],[Quantity]])+supermarket_sales_new[[#This Row],[Tax 5%]]</f>
        <v>43989.75</v>
      </c>
    </row>
    <row r="641" spans="1:10" x14ac:dyDescent="0.35">
      <c r="A641" t="s">
        <v>525</v>
      </c>
      <c r="B641" t="s">
        <v>664</v>
      </c>
      <c r="C641" t="s">
        <v>16</v>
      </c>
      <c r="D641" t="s">
        <v>17</v>
      </c>
      <c r="E641" t="s">
        <v>13</v>
      </c>
      <c r="F641" t="s">
        <v>29</v>
      </c>
      <c r="G641" s="1">
        <v>3519</v>
      </c>
      <c r="H641">
        <v>10</v>
      </c>
      <c r="I641" s="1">
        <f>supermarket_sales_new[[#This Row],[Unit price]]*supermarket_sales_new[[#This Row],[Quantity]]*5%</f>
        <v>1759.5</v>
      </c>
      <c r="J641" s="1">
        <f>(supermarket_sales_new[[#This Row],[Unit price]]*supermarket_sales_new[[#This Row],[Quantity]])+supermarket_sales_new[[#This Row],[Tax 5%]]</f>
        <v>36949.5</v>
      </c>
    </row>
    <row r="642" spans="1:10" x14ac:dyDescent="0.35">
      <c r="A642" t="s">
        <v>525</v>
      </c>
      <c r="B642" t="s">
        <v>665</v>
      </c>
      <c r="C642" t="s">
        <v>11</v>
      </c>
      <c r="D642" t="s">
        <v>12</v>
      </c>
      <c r="E642" t="s">
        <v>18</v>
      </c>
      <c r="F642" t="s">
        <v>22</v>
      </c>
      <c r="G642" s="1">
        <v>2375</v>
      </c>
      <c r="H642">
        <v>4</v>
      </c>
      <c r="I642" s="1">
        <f>supermarket_sales_new[[#This Row],[Unit price]]*supermarket_sales_new[[#This Row],[Quantity]]*5%</f>
        <v>475</v>
      </c>
      <c r="J642" s="1">
        <f>(supermarket_sales_new[[#This Row],[Unit price]]*supermarket_sales_new[[#This Row],[Quantity]])+supermarket_sales_new[[#This Row],[Tax 5%]]</f>
        <v>9975</v>
      </c>
    </row>
    <row r="643" spans="1:10" x14ac:dyDescent="0.35">
      <c r="A643" t="s">
        <v>525</v>
      </c>
      <c r="B643" t="s">
        <v>666</v>
      </c>
      <c r="C643" t="s">
        <v>11</v>
      </c>
      <c r="D643" t="s">
        <v>12</v>
      </c>
      <c r="E643" t="s">
        <v>13</v>
      </c>
      <c r="F643" t="s">
        <v>22</v>
      </c>
      <c r="G643" s="1">
        <v>589</v>
      </c>
      <c r="H643">
        <v>8</v>
      </c>
      <c r="I643" s="1">
        <f>supermarket_sales_new[[#This Row],[Unit price]]*supermarket_sales_new[[#This Row],[Quantity]]*5%</f>
        <v>235.60000000000002</v>
      </c>
      <c r="J643" s="1">
        <f>(supermarket_sales_new[[#This Row],[Unit price]]*supermarket_sales_new[[#This Row],[Quantity]])+supermarket_sales_new[[#This Row],[Tax 5%]]</f>
        <v>4947.6000000000004</v>
      </c>
    </row>
    <row r="644" spans="1:10" x14ac:dyDescent="0.35">
      <c r="A644" t="s">
        <v>525</v>
      </c>
      <c r="B644" t="s">
        <v>667</v>
      </c>
      <c r="C644" t="s">
        <v>25</v>
      </c>
      <c r="D644" t="s">
        <v>26</v>
      </c>
      <c r="E644" t="s">
        <v>13</v>
      </c>
      <c r="F644" t="s">
        <v>29</v>
      </c>
      <c r="G644" s="1">
        <v>3262</v>
      </c>
      <c r="H644">
        <v>4</v>
      </c>
      <c r="I644" s="1">
        <f>supermarket_sales_new[[#This Row],[Unit price]]*supermarket_sales_new[[#This Row],[Quantity]]*5%</f>
        <v>652.40000000000009</v>
      </c>
      <c r="J644" s="1">
        <f>(supermarket_sales_new[[#This Row],[Unit price]]*supermarket_sales_new[[#This Row],[Quantity]])+supermarket_sales_new[[#This Row],[Tax 5%]]</f>
        <v>13700.4</v>
      </c>
    </row>
    <row r="645" spans="1:10" x14ac:dyDescent="0.35">
      <c r="A645" t="s">
        <v>525</v>
      </c>
      <c r="B645" t="s">
        <v>668</v>
      </c>
      <c r="C645" t="s">
        <v>11</v>
      </c>
      <c r="D645" t="s">
        <v>12</v>
      </c>
      <c r="E645" t="s">
        <v>13</v>
      </c>
      <c r="F645" t="s">
        <v>19</v>
      </c>
      <c r="G645" s="1">
        <v>6635</v>
      </c>
      <c r="H645">
        <v>1</v>
      </c>
      <c r="I645" s="1">
        <f>supermarket_sales_new[[#This Row],[Unit price]]*supermarket_sales_new[[#This Row],[Quantity]]*5%</f>
        <v>331.75</v>
      </c>
      <c r="J645" s="1">
        <f>(supermarket_sales_new[[#This Row],[Unit price]]*supermarket_sales_new[[#This Row],[Quantity]])+supermarket_sales_new[[#This Row],[Tax 5%]]</f>
        <v>6966.75</v>
      </c>
    </row>
    <row r="646" spans="1:10" x14ac:dyDescent="0.35">
      <c r="A646" t="s">
        <v>525</v>
      </c>
      <c r="B646" t="s">
        <v>669</v>
      </c>
      <c r="C646" t="s">
        <v>11</v>
      </c>
      <c r="D646" t="s">
        <v>12</v>
      </c>
      <c r="E646" t="s">
        <v>13</v>
      </c>
      <c r="F646" t="s">
        <v>22</v>
      </c>
      <c r="G646" s="1">
        <v>2591</v>
      </c>
      <c r="H646">
        <v>6</v>
      </c>
      <c r="I646" s="1">
        <f>supermarket_sales_new[[#This Row],[Unit price]]*supermarket_sales_new[[#This Row],[Quantity]]*5%</f>
        <v>777.30000000000007</v>
      </c>
      <c r="J646" s="1">
        <f>(supermarket_sales_new[[#This Row],[Unit price]]*supermarket_sales_new[[#This Row],[Quantity]])+supermarket_sales_new[[#This Row],[Tax 5%]]</f>
        <v>16323.3</v>
      </c>
    </row>
    <row r="647" spans="1:10" x14ac:dyDescent="0.35">
      <c r="A647" t="s">
        <v>525</v>
      </c>
      <c r="B647" t="s">
        <v>670</v>
      </c>
      <c r="C647" t="s">
        <v>11</v>
      </c>
      <c r="D647" t="s">
        <v>12</v>
      </c>
      <c r="E647" t="s">
        <v>13</v>
      </c>
      <c r="F647" t="s">
        <v>19</v>
      </c>
      <c r="G647" s="1">
        <v>3225</v>
      </c>
      <c r="H647">
        <v>4</v>
      </c>
      <c r="I647" s="1">
        <f>supermarket_sales_new[[#This Row],[Unit price]]*supermarket_sales_new[[#This Row],[Quantity]]*5%</f>
        <v>645</v>
      </c>
      <c r="J647" s="1">
        <f>(supermarket_sales_new[[#This Row],[Unit price]]*supermarket_sales_new[[#This Row],[Quantity]])+supermarket_sales_new[[#This Row],[Tax 5%]]</f>
        <v>13545</v>
      </c>
    </row>
    <row r="648" spans="1:10" x14ac:dyDescent="0.35">
      <c r="A648" t="s">
        <v>525</v>
      </c>
      <c r="B648" t="s">
        <v>671</v>
      </c>
      <c r="C648" t="s">
        <v>16</v>
      </c>
      <c r="D648" t="s">
        <v>17</v>
      </c>
      <c r="E648" t="s">
        <v>13</v>
      </c>
      <c r="F648" t="s">
        <v>19</v>
      </c>
      <c r="G648" s="1">
        <v>6594</v>
      </c>
      <c r="H648">
        <v>4</v>
      </c>
      <c r="I648" s="1">
        <f>supermarket_sales_new[[#This Row],[Unit price]]*supermarket_sales_new[[#This Row],[Quantity]]*5%</f>
        <v>1318.8000000000002</v>
      </c>
      <c r="J648" s="1">
        <f>(supermarket_sales_new[[#This Row],[Unit price]]*supermarket_sales_new[[#This Row],[Quantity]])+supermarket_sales_new[[#This Row],[Tax 5%]]</f>
        <v>27694.799999999999</v>
      </c>
    </row>
    <row r="649" spans="1:10" x14ac:dyDescent="0.35">
      <c r="A649" t="s">
        <v>525</v>
      </c>
      <c r="B649" t="s">
        <v>672</v>
      </c>
      <c r="C649" t="s">
        <v>25</v>
      </c>
      <c r="D649" t="s">
        <v>26</v>
      </c>
      <c r="E649" t="s">
        <v>18</v>
      </c>
      <c r="F649" t="s">
        <v>33</v>
      </c>
      <c r="G649" s="1">
        <v>5445</v>
      </c>
      <c r="H649">
        <v>1</v>
      </c>
      <c r="I649" s="1">
        <f>supermarket_sales_new[[#This Row],[Unit price]]*supermarket_sales_new[[#This Row],[Quantity]]*5%</f>
        <v>272.25</v>
      </c>
      <c r="J649" s="1">
        <f>(supermarket_sales_new[[#This Row],[Unit price]]*supermarket_sales_new[[#This Row],[Quantity]])+supermarket_sales_new[[#This Row],[Tax 5%]]</f>
        <v>5717.25</v>
      </c>
    </row>
    <row r="650" spans="1:10" x14ac:dyDescent="0.35">
      <c r="A650" t="s">
        <v>525</v>
      </c>
      <c r="B650" t="s">
        <v>673</v>
      </c>
      <c r="C650" t="s">
        <v>16</v>
      </c>
      <c r="D650" t="s">
        <v>17</v>
      </c>
      <c r="E650" t="s">
        <v>18</v>
      </c>
      <c r="F650" t="s">
        <v>22</v>
      </c>
      <c r="G650" s="1">
        <v>3547</v>
      </c>
      <c r="H650">
        <v>4</v>
      </c>
      <c r="I650" s="1">
        <f>supermarket_sales_new[[#This Row],[Unit price]]*supermarket_sales_new[[#This Row],[Quantity]]*5%</f>
        <v>709.40000000000009</v>
      </c>
      <c r="J650" s="1">
        <f>(supermarket_sales_new[[#This Row],[Unit price]]*supermarket_sales_new[[#This Row],[Quantity]])+supermarket_sales_new[[#This Row],[Tax 5%]]</f>
        <v>14897.4</v>
      </c>
    </row>
    <row r="651" spans="1:10" x14ac:dyDescent="0.35">
      <c r="A651" t="s">
        <v>525</v>
      </c>
      <c r="B651" t="s">
        <v>674</v>
      </c>
      <c r="C651" t="s">
        <v>11</v>
      </c>
      <c r="D651" t="s">
        <v>12</v>
      </c>
      <c r="E651" t="s">
        <v>13</v>
      </c>
      <c r="F651" t="s">
        <v>22</v>
      </c>
      <c r="G651" s="1">
        <v>7074</v>
      </c>
      <c r="H651">
        <v>4</v>
      </c>
      <c r="I651" s="1">
        <f>supermarket_sales_new[[#This Row],[Unit price]]*supermarket_sales_new[[#This Row],[Quantity]]*5%</f>
        <v>1414.8000000000002</v>
      </c>
      <c r="J651" s="1">
        <f>(supermarket_sales_new[[#This Row],[Unit price]]*supermarket_sales_new[[#This Row],[Quantity]])+supermarket_sales_new[[#This Row],[Tax 5%]]</f>
        <v>29710.799999999999</v>
      </c>
    </row>
    <row r="652" spans="1:10" x14ac:dyDescent="0.35">
      <c r="A652" t="s">
        <v>525</v>
      </c>
      <c r="B652" t="s">
        <v>675</v>
      </c>
      <c r="C652" t="s">
        <v>25</v>
      </c>
      <c r="D652" t="s">
        <v>26</v>
      </c>
      <c r="E652" t="s">
        <v>18</v>
      </c>
      <c r="F652" t="s">
        <v>29</v>
      </c>
      <c r="G652" s="1">
        <v>4797</v>
      </c>
      <c r="H652">
        <v>7</v>
      </c>
      <c r="I652" s="1">
        <f>supermarket_sales_new[[#This Row],[Unit price]]*supermarket_sales_new[[#This Row],[Quantity]]*5%</f>
        <v>1678.95</v>
      </c>
      <c r="J652" s="1">
        <f>(supermarket_sales_new[[#This Row],[Unit price]]*supermarket_sales_new[[#This Row],[Quantity]])+supermarket_sales_new[[#This Row],[Tax 5%]]</f>
        <v>35257.949999999997</v>
      </c>
    </row>
    <row r="653" spans="1:10" x14ac:dyDescent="0.35">
      <c r="A653" t="s">
        <v>525</v>
      </c>
      <c r="B653" t="s">
        <v>676</v>
      </c>
      <c r="C653" t="s">
        <v>16</v>
      </c>
      <c r="D653" t="s">
        <v>17</v>
      </c>
      <c r="E653" t="s">
        <v>13</v>
      </c>
      <c r="F653" t="s">
        <v>29</v>
      </c>
      <c r="G653" s="1">
        <v>7099</v>
      </c>
      <c r="H653">
        <v>10</v>
      </c>
      <c r="I653" s="1">
        <f>supermarket_sales_new[[#This Row],[Unit price]]*supermarket_sales_new[[#This Row],[Quantity]]*5%</f>
        <v>3549.5</v>
      </c>
      <c r="J653" s="1">
        <f>(supermarket_sales_new[[#This Row],[Unit price]]*supermarket_sales_new[[#This Row],[Quantity]])+supermarket_sales_new[[#This Row],[Tax 5%]]</f>
        <v>74539.5</v>
      </c>
    </row>
    <row r="654" spans="1:10" x14ac:dyDescent="0.35">
      <c r="A654" t="s">
        <v>525</v>
      </c>
      <c r="B654" t="s">
        <v>677</v>
      </c>
      <c r="C654" t="s">
        <v>11</v>
      </c>
      <c r="D654" t="s">
        <v>12</v>
      </c>
      <c r="E654" t="s">
        <v>13</v>
      </c>
      <c r="F654" t="s">
        <v>33</v>
      </c>
      <c r="G654" s="1">
        <v>4402</v>
      </c>
      <c r="H654">
        <v>10</v>
      </c>
      <c r="I654" s="1">
        <f>supermarket_sales_new[[#This Row],[Unit price]]*supermarket_sales_new[[#This Row],[Quantity]]*5%</f>
        <v>2201</v>
      </c>
      <c r="J654" s="1">
        <f>(supermarket_sales_new[[#This Row],[Unit price]]*supermarket_sales_new[[#This Row],[Quantity]])+supermarket_sales_new[[#This Row],[Tax 5%]]</f>
        <v>46221</v>
      </c>
    </row>
    <row r="655" spans="1:10" x14ac:dyDescent="0.35">
      <c r="A655" t="s">
        <v>525</v>
      </c>
      <c r="B655" t="s">
        <v>678</v>
      </c>
      <c r="C655" t="s">
        <v>16</v>
      </c>
      <c r="D655" t="s">
        <v>17</v>
      </c>
      <c r="E655" t="s">
        <v>18</v>
      </c>
      <c r="F655" t="s">
        <v>22</v>
      </c>
      <c r="G655" s="1">
        <v>37</v>
      </c>
      <c r="H655">
        <v>1</v>
      </c>
      <c r="I655" s="1">
        <f>supermarket_sales_new[[#This Row],[Unit price]]*supermarket_sales_new[[#This Row],[Quantity]]*5%</f>
        <v>1.85</v>
      </c>
      <c r="J655" s="1">
        <f>(supermarket_sales_new[[#This Row],[Unit price]]*supermarket_sales_new[[#This Row],[Quantity]])+supermarket_sales_new[[#This Row],[Tax 5%]]</f>
        <v>38.85</v>
      </c>
    </row>
    <row r="656" spans="1:10" x14ac:dyDescent="0.35">
      <c r="A656" t="s">
        <v>525</v>
      </c>
      <c r="B656" t="s">
        <v>679</v>
      </c>
      <c r="C656" t="s">
        <v>11</v>
      </c>
      <c r="D656" t="s">
        <v>12</v>
      </c>
      <c r="E656" t="s">
        <v>13</v>
      </c>
      <c r="F656" t="s">
        <v>14</v>
      </c>
      <c r="G656" s="1">
        <v>9983</v>
      </c>
      <c r="H656">
        <v>6</v>
      </c>
      <c r="I656" s="1">
        <f>supermarket_sales_new[[#This Row],[Unit price]]*supermarket_sales_new[[#This Row],[Quantity]]*5%</f>
        <v>2994.9</v>
      </c>
      <c r="J656" s="1">
        <f>(supermarket_sales_new[[#This Row],[Unit price]]*supermarket_sales_new[[#This Row],[Quantity]])+supermarket_sales_new[[#This Row],[Tax 5%]]</f>
        <v>62892.9</v>
      </c>
    </row>
    <row r="657" spans="1:10" x14ac:dyDescent="0.35">
      <c r="A657" t="s">
        <v>525</v>
      </c>
      <c r="B657" t="s">
        <v>680</v>
      </c>
      <c r="C657" t="s">
        <v>25</v>
      </c>
      <c r="D657" t="s">
        <v>26</v>
      </c>
      <c r="E657" t="s">
        <v>18</v>
      </c>
      <c r="F657" t="s">
        <v>14</v>
      </c>
      <c r="G657" s="1">
        <v>6668</v>
      </c>
      <c r="H657">
        <v>5</v>
      </c>
      <c r="I657" s="1">
        <f>supermarket_sales_new[[#This Row],[Unit price]]*supermarket_sales_new[[#This Row],[Quantity]]*5%</f>
        <v>1667</v>
      </c>
      <c r="J657" s="1">
        <f>(supermarket_sales_new[[#This Row],[Unit price]]*supermarket_sales_new[[#This Row],[Quantity]])+supermarket_sales_new[[#This Row],[Tax 5%]]</f>
        <v>35007</v>
      </c>
    </row>
    <row r="658" spans="1:10" x14ac:dyDescent="0.35">
      <c r="A658" t="s">
        <v>525</v>
      </c>
      <c r="B658" t="s">
        <v>681</v>
      </c>
      <c r="C658" t="s">
        <v>16</v>
      </c>
      <c r="D658" t="s">
        <v>17</v>
      </c>
      <c r="E658" t="s">
        <v>13</v>
      </c>
      <c r="F658" t="s">
        <v>22</v>
      </c>
      <c r="G658" s="1">
        <v>7486</v>
      </c>
      <c r="H658">
        <v>1</v>
      </c>
      <c r="I658" s="1">
        <f>supermarket_sales_new[[#This Row],[Unit price]]*supermarket_sales_new[[#This Row],[Quantity]]*5%</f>
        <v>374.3</v>
      </c>
      <c r="J658" s="1">
        <f>(supermarket_sales_new[[#This Row],[Unit price]]*supermarket_sales_new[[#This Row],[Quantity]])+supermarket_sales_new[[#This Row],[Tax 5%]]</f>
        <v>7860.3</v>
      </c>
    </row>
    <row r="659" spans="1:10" x14ac:dyDescent="0.35">
      <c r="A659" t="s">
        <v>525</v>
      </c>
      <c r="B659" t="s">
        <v>682</v>
      </c>
      <c r="C659" t="s">
        <v>25</v>
      </c>
      <c r="D659" t="s">
        <v>26</v>
      </c>
      <c r="E659" t="s">
        <v>13</v>
      </c>
      <c r="F659" t="s">
        <v>19</v>
      </c>
      <c r="G659" s="1">
        <v>403</v>
      </c>
      <c r="H659">
        <v>10</v>
      </c>
      <c r="I659" s="1">
        <f>supermarket_sales_new[[#This Row],[Unit price]]*supermarket_sales_new[[#This Row],[Quantity]]*5%</f>
        <v>201.5</v>
      </c>
      <c r="J659" s="1">
        <f>(supermarket_sales_new[[#This Row],[Unit price]]*supermarket_sales_new[[#This Row],[Quantity]])+supermarket_sales_new[[#This Row],[Tax 5%]]</f>
        <v>4231.5</v>
      </c>
    </row>
    <row r="660" spans="1:10" x14ac:dyDescent="0.35">
      <c r="A660" t="s">
        <v>525</v>
      </c>
      <c r="B660" t="s">
        <v>683</v>
      </c>
      <c r="C660" t="s">
        <v>16</v>
      </c>
      <c r="D660" t="s">
        <v>17</v>
      </c>
      <c r="E660" t="s">
        <v>18</v>
      </c>
      <c r="F660" t="s">
        <v>19</v>
      </c>
      <c r="G660" s="1">
        <v>2785</v>
      </c>
      <c r="H660">
        <v>7</v>
      </c>
      <c r="I660" s="1">
        <f>supermarket_sales_new[[#This Row],[Unit price]]*supermarket_sales_new[[#This Row],[Quantity]]*5%</f>
        <v>974.75</v>
      </c>
      <c r="J660" s="1">
        <f>(supermarket_sales_new[[#This Row],[Unit price]]*supermarket_sales_new[[#This Row],[Quantity]])+supermarket_sales_new[[#This Row],[Tax 5%]]</f>
        <v>20469.75</v>
      </c>
    </row>
    <row r="661" spans="1:10" x14ac:dyDescent="0.35">
      <c r="A661" t="s">
        <v>525</v>
      </c>
      <c r="B661" t="s">
        <v>684</v>
      </c>
      <c r="C661" t="s">
        <v>25</v>
      </c>
      <c r="D661" t="s">
        <v>26</v>
      </c>
      <c r="E661" t="s">
        <v>18</v>
      </c>
      <c r="F661" t="s">
        <v>14</v>
      </c>
      <c r="G661" s="1">
        <v>1811</v>
      </c>
      <c r="H661">
        <v>10</v>
      </c>
      <c r="I661" s="1">
        <f>supermarket_sales_new[[#This Row],[Unit price]]*supermarket_sales_new[[#This Row],[Quantity]]*5%</f>
        <v>905.5</v>
      </c>
      <c r="J661" s="1">
        <f>(supermarket_sales_new[[#This Row],[Unit price]]*supermarket_sales_new[[#This Row],[Quantity]])+supermarket_sales_new[[#This Row],[Tax 5%]]</f>
        <v>19015.5</v>
      </c>
    </row>
    <row r="662" spans="1:10" x14ac:dyDescent="0.35">
      <c r="A662" t="s">
        <v>525</v>
      </c>
      <c r="B662" t="s">
        <v>685</v>
      </c>
      <c r="C662" t="s">
        <v>16</v>
      </c>
      <c r="D662" t="s">
        <v>17</v>
      </c>
      <c r="E662" t="s">
        <v>18</v>
      </c>
      <c r="F662" t="s">
        <v>19</v>
      </c>
      <c r="G662" s="1">
        <v>2884</v>
      </c>
      <c r="H662">
        <v>4</v>
      </c>
      <c r="I662" s="1">
        <f>supermarket_sales_new[[#This Row],[Unit price]]*supermarket_sales_new[[#This Row],[Quantity]]*5%</f>
        <v>576.80000000000007</v>
      </c>
      <c r="J662" s="1">
        <f>(supermarket_sales_new[[#This Row],[Unit price]]*supermarket_sales_new[[#This Row],[Quantity]])+supermarket_sales_new[[#This Row],[Tax 5%]]</f>
        <v>12112.8</v>
      </c>
    </row>
    <row r="663" spans="1:10" x14ac:dyDescent="0.35">
      <c r="A663" t="s">
        <v>525</v>
      </c>
      <c r="B663" t="s">
        <v>686</v>
      </c>
      <c r="C663" t="s">
        <v>11</v>
      </c>
      <c r="D663" t="s">
        <v>12</v>
      </c>
      <c r="E663" t="s">
        <v>13</v>
      </c>
      <c r="F663" t="s">
        <v>22</v>
      </c>
      <c r="G663" s="1">
        <v>7838</v>
      </c>
      <c r="H663">
        <v>6</v>
      </c>
      <c r="I663" s="1">
        <f>supermarket_sales_new[[#This Row],[Unit price]]*supermarket_sales_new[[#This Row],[Quantity]]*5%</f>
        <v>2351.4</v>
      </c>
      <c r="J663" s="1">
        <f>(supermarket_sales_new[[#This Row],[Unit price]]*supermarket_sales_new[[#This Row],[Quantity]])+supermarket_sales_new[[#This Row],[Tax 5%]]</f>
        <v>49379.4</v>
      </c>
    </row>
    <row r="664" spans="1:10" x14ac:dyDescent="0.35">
      <c r="A664" t="s">
        <v>525</v>
      </c>
      <c r="B664" t="s">
        <v>687</v>
      </c>
      <c r="C664" t="s">
        <v>11</v>
      </c>
      <c r="D664" t="s">
        <v>12</v>
      </c>
      <c r="E664" t="s">
        <v>13</v>
      </c>
      <c r="F664" t="s">
        <v>22</v>
      </c>
      <c r="G664" s="1">
        <v>6001</v>
      </c>
      <c r="H664">
        <v>4</v>
      </c>
      <c r="I664" s="1">
        <f>supermarket_sales_new[[#This Row],[Unit price]]*supermarket_sales_new[[#This Row],[Quantity]]*5%</f>
        <v>1200.2</v>
      </c>
      <c r="J664" s="1">
        <f>(supermarket_sales_new[[#This Row],[Unit price]]*supermarket_sales_new[[#This Row],[Quantity]])+supermarket_sales_new[[#This Row],[Tax 5%]]</f>
        <v>25204.2</v>
      </c>
    </row>
    <row r="665" spans="1:10" x14ac:dyDescent="0.35">
      <c r="A665" t="s">
        <v>525</v>
      </c>
      <c r="B665" t="s">
        <v>688</v>
      </c>
      <c r="C665" t="s">
        <v>16</v>
      </c>
      <c r="D665" t="s">
        <v>17</v>
      </c>
      <c r="E665" t="s">
        <v>18</v>
      </c>
      <c r="F665" t="s">
        <v>29</v>
      </c>
      <c r="G665" s="1">
        <v>9982</v>
      </c>
      <c r="H665">
        <v>2</v>
      </c>
      <c r="I665" s="1">
        <f>supermarket_sales_new[[#This Row],[Unit price]]*supermarket_sales_new[[#This Row],[Quantity]]*5%</f>
        <v>998.2</v>
      </c>
      <c r="J665" s="1">
        <f>(supermarket_sales_new[[#This Row],[Unit price]]*supermarket_sales_new[[#This Row],[Quantity]])+supermarket_sales_new[[#This Row],[Tax 5%]]</f>
        <v>20962.2</v>
      </c>
    </row>
    <row r="666" spans="1:10" x14ac:dyDescent="0.35">
      <c r="A666" t="s">
        <v>525</v>
      </c>
      <c r="B666" t="s">
        <v>689</v>
      </c>
      <c r="C666" t="s">
        <v>25</v>
      </c>
      <c r="D666" t="s">
        <v>26</v>
      </c>
      <c r="E666" t="s">
        <v>13</v>
      </c>
      <c r="F666" t="s">
        <v>14</v>
      </c>
      <c r="G666" s="1">
        <v>3901</v>
      </c>
      <c r="H666">
        <v>1</v>
      </c>
      <c r="I666" s="1">
        <f>supermarket_sales_new[[#This Row],[Unit price]]*supermarket_sales_new[[#This Row],[Quantity]]*5%</f>
        <v>195.05</v>
      </c>
      <c r="J666" s="1">
        <f>(supermarket_sales_new[[#This Row],[Unit price]]*supermarket_sales_new[[#This Row],[Quantity]])+supermarket_sales_new[[#This Row],[Tax 5%]]</f>
        <v>4096.05</v>
      </c>
    </row>
    <row r="667" spans="1:10" x14ac:dyDescent="0.35">
      <c r="A667" t="s">
        <v>525</v>
      </c>
      <c r="B667" t="s">
        <v>690</v>
      </c>
      <c r="C667" t="s">
        <v>16</v>
      </c>
      <c r="D667" t="s">
        <v>17</v>
      </c>
      <c r="E667" t="s">
        <v>18</v>
      </c>
      <c r="F667" t="s">
        <v>27</v>
      </c>
      <c r="G667" s="1">
        <v>4861</v>
      </c>
      <c r="H667">
        <v>1</v>
      </c>
      <c r="I667" s="1">
        <f>supermarket_sales_new[[#This Row],[Unit price]]*supermarket_sales_new[[#This Row],[Quantity]]*5%</f>
        <v>243.05</v>
      </c>
      <c r="J667" s="1">
        <f>(supermarket_sales_new[[#This Row],[Unit price]]*supermarket_sales_new[[#This Row],[Quantity]])+supermarket_sales_new[[#This Row],[Tax 5%]]</f>
        <v>5104.05</v>
      </c>
    </row>
    <row r="668" spans="1:10" x14ac:dyDescent="0.35">
      <c r="A668" t="s">
        <v>525</v>
      </c>
      <c r="B668" t="s">
        <v>691</v>
      </c>
      <c r="C668" t="s">
        <v>11</v>
      </c>
      <c r="D668" t="s">
        <v>12</v>
      </c>
      <c r="E668" t="s">
        <v>13</v>
      </c>
      <c r="F668" t="s">
        <v>19</v>
      </c>
      <c r="G668" s="1">
        <v>722</v>
      </c>
      <c r="H668">
        <v>7</v>
      </c>
      <c r="I668" s="1">
        <f>supermarket_sales_new[[#This Row],[Unit price]]*supermarket_sales_new[[#This Row],[Quantity]]*5%</f>
        <v>252.70000000000002</v>
      </c>
      <c r="J668" s="1">
        <f>(supermarket_sales_new[[#This Row],[Unit price]]*supermarket_sales_new[[#This Row],[Quantity]])+supermarket_sales_new[[#This Row],[Tax 5%]]</f>
        <v>5306.7</v>
      </c>
    </row>
    <row r="669" spans="1:10" x14ac:dyDescent="0.35">
      <c r="A669" t="s">
        <v>525</v>
      </c>
      <c r="B669" t="s">
        <v>692</v>
      </c>
      <c r="C669" t="s">
        <v>25</v>
      </c>
      <c r="D669" t="s">
        <v>26</v>
      </c>
      <c r="E669" t="s">
        <v>13</v>
      </c>
      <c r="F669" t="s">
        <v>33</v>
      </c>
      <c r="G669" s="1">
        <v>7993</v>
      </c>
      <c r="H669">
        <v>6</v>
      </c>
      <c r="I669" s="1">
        <f>supermarket_sales_new[[#This Row],[Unit price]]*supermarket_sales_new[[#This Row],[Quantity]]*5%</f>
        <v>2397.9</v>
      </c>
      <c r="J669" s="1">
        <f>(supermarket_sales_new[[#This Row],[Unit price]]*supermarket_sales_new[[#This Row],[Quantity]])+supermarket_sales_new[[#This Row],[Tax 5%]]</f>
        <v>50355.9</v>
      </c>
    </row>
    <row r="670" spans="1:10" x14ac:dyDescent="0.35">
      <c r="A670" t="s">
        <v>525</v>
      </c>
      <c r="B670" t="s">
        <v>693</v>
      </c>
      <c r="C670" t="s">
        <v>16</v>
      </c>
      <c r="D670" t="s">
        <v>17</v>
      </c>
      <c r="E670" t="s">
        <v>13</v>
      </c>
      <c r="F670" t="s">
        <v>29</v>
      </c>
      <c r="G670" s="1">
        <v>6933</v>
      </c>
      <c r="H670">
        <v>2</v>
      </c>
      <c r="I670" s="1">
        <f>supermarket_sales_new[[#This Row],[Unit price]]*supermarket_sales_new[[#This Row],[Quantity]]*5%</f>
        <v>693.30000000000007</v>
      </c>
      <c r="J670" s="1">
        <f>(supermarket_sales_new[[#This Row],[Unit price]]*supermarket_sales_new[[#This Row],[Quantity]])+supermarket_sales_new[[#This Row],[Tax 5%]]</f>
        <v>14559.3</v>
      </c>
    </row>
    <row r="671" spans="1:10" x14ac:dyDescent="0.35">
      <c r="A671" t="s">
        <v>525</v>
      </c>
      <c r="B671" t="s">
        <v>694</v>
      </c>
      <c r="C671" t="s">
        <v>16</v>
      </c>
      <c r="D671" t="s">
        <v>17</v>
      </c>
      <c r="E671" t="s">
        <v>13</v>
      </c>
      <c r="F671" t="s">
        <v>27</v>
      </c>
      <c r="G671" s="1">
        <v>9937</v>
      </c>
      <c r="H671">
        <v>2</v>
      </c>
      <c r="I671" s="1">
        <f>supermarket_sales_new[[#This Row],[Unit price]]*supermarket_sales_new[[#This Row],[Quantity]]*5%</f>
        <v>993.7</v>
      </c>
      <c r="J671" s="1">
        <f>(supermarket_sales_new[[#This Row],[Unit price]]*supermarket_sales_new[[#This Row],[Quantity]])+supermarket_sales_new[[#This Row],[Tax 5%]]</f>
        <v>20867.7</v>
      </c>
    </row>
    <row r="672" spans="1:10" x14ac:dyDescent="0.35">
      <c r="A672" t="s">
        <v>525</v>
      </c>
      <c r="B672" t="s">
        <v>695</v>
      </c>
      <c r="C672" t="s">
        <v>16</v>
      </c>
      <c r="D672" t="s">
        <v>17</v>
      </c>
      <c r="E672" t="s">
        <v>13</v>
      </c>
      <c r="F672" t="s">
        <v>19</v>
      </c>
      <c r="G672" s="1">
        <v>7479</v>
      </c>
      <c r="H672">
        <v>5</v>
      </c>
      <c r="I672" s="1">
        <f>supermarket_sales_new[[#This Row],[Unit price]]*supermarket_sales_new[[#This Row],[Quantity]]*5%</f>
        <v>1869.75</v>
      </c>
      <c r="J672" s="1">
        <f>(supermarket_sales_new[[#This Row],[Unit price]]*supermarket_sales_new[[#This Row],[Quantity]])+supermarket_sales_new[[#This Row],[Tax 5%]]</f>
        <v>39264.75</v>
      </c>
    </row>
    <row r="673" spans="1:10" x14ac:dyDescent="0.35">
      <c r="A673" t="s">
        <v>525</v>
      </c>
      <c r="B673" t="s">
        <v>696</v>
      </c>
      <c r="C673" t="s">
        <v>16</v>
      </c>
      <c r="D673" t="s">
        <v>17</v>
      </c>
      <c r="E673" t="s">
        <v>13</v>
      </c>
      <c r="F673" t="s">
        <v>14</v>
      </c>
      <c r="G673" s="1">
        <v>4407</v>
      </c>
      <c r="H673">
        <v>4</v>
      </c>
      <c r="I673" s="1">
        <f>supermarket_sales_new[[#This Row],[Unit price]]*supermarket_sales_new[[#This Row],[Quantity]]*5%</f>
        <v>881.40000000000009</v>
      </c>
      <c r="J673" s="1">
        <f>(supermarket_sales_new[[#This Row],[Unit price]]*supermarket_sales_new[[#This Row],[Quantity]])+supermarket_sales_new[[#This Row],[Tax 5%]]</f>
        <v>18509.400000000001</v>
      </c>
    </row>
    <row r="674" spans="1:10" x14ac:dyDescent="0.35">
      <c r="A674" t="s">
        <v>525</v>
      </c>
      <c r="B674" t="s">
        <v>697</v>
      </c>
      <c r="C674" t="s">
        <v>11</v>
      </c>
      <c r="D674" t="s">
        <v>12</v>
      </c>
      <c r="E674" t="s">
        <v>18</v>
      </c>
      <c r="F674" t="s">
        <v>14</v>
      </c>
      <c r="G674" s="1">
        <v>1526</v>
      </c>
      <c r="H674">
        <v>6</v>
      </c>
      <c r="I674" s="1">
        <f>supermarket_sales_new[[#This Row],[Unit price]]*supermarket_sales_new[[#This Row],[Quantity]]*5%</f>
        <v>457.8</v>
      </c>
      <c r="J674" s="1">
        <f>(supermarket_sales_new[[#This Row],[Unit price]]*supermarket_sales_new[[#This Row],[Quantity]])+supermarket_sales_new[[#This Row],[Tax 5%]]</f>
        <v>9613.7999999999993</v>
      </c>
    </row>
    <row r="675" spans="1:10" x14ac:dyDescent="0.35">
      <c r="A675" t="s">
        <v>525</v>
      </c>
      <c r="B675" t="s">
        <v>698</v>
      </c>
      <c r="C675" t="s">
        <v>11</v>
      </c>
      <c r="D675" t="s">
        <v>12</v>
      </c>
      <c r="E675" t="s">
        <v>18</v>
      </c>
      <c r="F675" t="s">
        <v>22</v>
      </c>
      <c r="G675" s="1">
        <v>2152</v>
      </c>
      <c r="H675">
        <v>6</v>
      </c>
      <c r="I675" s="1">
        <f>supermarket_sales_new[[#This Row],[Unit price]]*supermarket_sales_new[[#This Row],[Quantity]]*5%</f>
        <v>645.6</v>
      </c>
      <c r="J675" s="1">
        <f>(supermarket_sales_new[[#This Row],[Unit price]]*supermarket_sales_new[[#This Row],[Quantity]])+supermarket_sales_new[[#This Row],[Tax 5%]]</f>
        <v>13557.6</v>
      </c>
    </row>
    <row r="676" spans="1:10" x14ac:dyDescent="0.35">
      <c r="A676" t="s">
        <v>525</v>
      </c>
      <c r="B676" t="s">
        <v>699</v>
      </c>
      <c r="C676" t="s">
        <v>25</v>
      </c>
      <c r="D676" t="s">
        <v>26</v>
      </c>
      <c r="E676" t="s">
        <v>18</v>
      </c>
      <c r="F676" t="s">
        <v>33</v>
      </c>
      <c r="G676" s="1">
        <v>9774</v>
      </c>
      <c r="H676">
        <v>4</v>
      </c>
      <c r="I676" s="1">
        <f>supermarket_sales_new[[#This Row],[Unit price]]*supermarket_sales_new[[#This Row],[Quantity]]*5%</f>
        <v>1954.8000000000002</v>
      </c>
      <c r="J676" s="1">
        <f>(supermarket_sales_new[[#This Row],[Unit price]]*supermarket_sales_new[[#This Row],[Quantity]])+supermarket_sales_new[[#This Row],[Tax 5%]]</f>
        <v>41050.800000000003</v>
      </c>
    </row>
    <row r="677" spans="1:10" x14ac:dyDescent="0.35">
      <c r="A677" t="s">
        <v>525</v>
      </c>
      <c r="B677" t="s">
        <v>700</v>
      </c>
      <c r="C677" t="s">
        <v>11</v>
      </c>
      <c r="D677" t="s">
        <v>12</v>
      </c>
      <c r="E677" t="s">
        <v>13</v>
      </c>
      <c r="F677" t="s">
        <v>27</v>
      </c>
      <c r="G677" s="1">
        <v>9978</v>
      </c>
      <c r="H677">
        <v>5</v>
      </c>
      <c r="I677" s="1">
        <f>supermarket_sales_new[[#This Row],[Unit price]]*supermarket_sales_new[[#This Row],[Quantity]]*5%</f>
        <v>2494.5</v>
      </c>
      <c r="J677" s="1">
        <f>(supermarket_sales_new[[#This Row],[Unit price]]*supermarket_sales_new[[#This Row],[Quantity]])+supermarket_sales_new[[#This Row],[Tax 5%]]</f>
        <v>52384.5</v>
      </c>
    </row>
    <row r="678" spans="1:10" x14ac:dyDescent="0.35">
      <c r="A678" t="s">
        <v>525</v>
      </c>
      <c r="B678" t="s">
        <v>701</v>
      </c>
      <c r="C678" t="s">
        <v>16</v>
      </c>
      <c r="D678" t="s">
        <v>17</v>
      </c>
      <c r="E678" t="s">
        <v>13</v>
      </c>
      <c r="F678" t="s">
        <v>27</v>
      </c>
      <c r="G678" s="1">
        <v>9426</v>
      </c>
      <c r="H678">
        <v>4</v>
      </c>
      <c r="I678" s="1">
        <f>supermarket_sales_new[[#This Row],[Unit price]]*supermarket_sales_new[[#This Row],[Quantity]]*5%</f>
        <v>1885.2</v>
      </c>
      <c r="J678" s="1">
        <f>(supermarket_sales_new[[#This Row],[Unit price]]*supermarket_sales_new[[#This Row],[Quantity]])+supermarket_sales_new[[#This Row],[Tax 5%]]</f>
        <v>39589.199999999997</v>
      </c>
    </row>
    <row r="679" spans="1:10" x14ac:dyDescent="0.35">
      <c r="A679" t="s">
        <v>525</v>
      </c>
      <c r="B679" t="s">
        <v>702</v>
      </c>
      <c r="C679" t="s">
        <v>25</v>
      </c>
      <c r="D679" t="s">
        <v>26</v>
      </c>
      <c r="E679" t="s">
        <v>13</v>
      </c>
      <c r="F679" t="s">
        <v>14</v>
      </c>
      <c r="G679" s="1">
        <v>5113</v>
      </c>
      <c r="H679">
        <v>4</v>
      </c>
      <c r="I679" s="1">
        <f>supermarket_sales_new[[#This Row],[Unit price]]*supermarket_sales_new[[#This Row],[Quantity]]*5%</f>
        <v>1022.6</v>
      </c>
      <c r="J679" s="1">
        <f>(supermarket_sales_new[[#This Row],[Unit price]]*supermarket_sales_new[[#This Row],[Quantity]])+supermarket_sales_new[[#This Row],[Tax 5%]]</f>
        <v>21474.6</v>
      </c>
    </row>
    <row r="680" spans="1:10" x14ac:dyDescent="0.35">
      <c r="A680" t="s">
        <v>525</v>
      </c>
      <c r="B680" t="s">
        <v>703</v>
      </c>
      <c r="C680" t="s">
        <v>11</v>
      </c>
      <c r="D680" t="s">
        <v>12</v>
      </c>
      <c r="E680" t="s">
        <v>13</v>
      </c>
      <c r="F680" t="s">
        <v>19</v>
      </c>
      <c r="G680" s="1">
        <v>3636</v>
      </c>
      <c r="H680">
        <v>4</v>
      </c>
      <c r="I680" s="1">
        <f>supermarket_sales_new[[#This Row],[Unit price]]*supermarket_sales_new[[#This Row],[Quantity]]*5%</f>
        <v>727.2</v>
      </c>
      <c r="J680" s="1">
        <f>(supermarket_sales_new[[#This Row],[Unit price]]*supermarket_sales_new[[#This Row],[Quantity]])+supermarket_sales_new[[#This Row],[Tax 5%]]</f>
        <v>15271.2</v>
      </c>
    </row>
    <row r="681" spans="1:10" x14ac:dyDescent="0.35">
      <c r="A681" t="s">
        <v>525</v>
      </c>
      <c r="B681" t="s">
        <v>704</v>
      </c>
      <c r="C681" t="s">
        <v>25</v>
      </c>
      <c r="D681" t="s">
        <v>26</v>
      </c>
      <c r="E681" t="s">
        <v>18</v>
      </c>
      <c r="F681" t="s">
        <v>22</v>
      </c>
      <c r="G681" s="1">
        <v>2202</v>
      </c>
      <c r="H681">
        <v>9</v>
      </c>
      <c r="I681" s="1">
        <f>supermarket_sales_new[[#This Row],[Unit price]]*supermarket_sales_new[[#This Row],[Quantity]]*5%</f>
        <v>990.90000000000009</v>
      </c>
      <c r="J681" s="1">
        <f>(supermarket_sales_new[[#This Row],[Unit price]]*supermarket_sales_new[[#This Row],[Quantity]])+supermarket_sales_new[[#This Row],[Tax 5%]]</f>
        <v>20808.900000000001</v>
      </c>
    </row>
    <row r="682" spans="1:10" x14ac:dyDescent="0.35">
      <c r="A682" t="s">
        <v>525</v>
      </c>
      <c r="B682" t="s">
        <v>705</v>
      </c>
      <c r="C682" t="s">
        <v>11</v>
      </c>
      <c r="D682" t="s">
        <v>12</v>
      </c>
      <c r="E682" t="s">
        <v>18</v>
      </c>
      <c r="F682" t="s">
        <v>27</v>
      </c>
      <c r="G682" s="1">
        <v>329</v>
      </c>
      <c r="H682">
        <v>3</v>
      </c>
      <c r="I682" s="1">
        <f>supermarket_sales_new[[#This Row],[Unit price]]*supermarket_sales_new[[#This Row],[Quantity]]*5%</f>
        <v>49.35</v>
      </c>
      <c r="J682" s="1">
        <f>(supermarket_sales_new[[#This Row],[Unit price]]*supermarket_sales_new[[#This Row],[Quantity]])+supermarket_sales_new[[#This Row],[Tax 5%]]</f>
        <v>1036.3499999999999</v>
      </c>
    </row>
    <row r="683" spans="1:10" x14ac:dyDescent="0.35">
      <c r="A683" t="s">
        <v>525</v>
      </c>
      <c r="B683" t="s">
        <v>706</v>
      </c>
      <c r="C683" t="s">
        <v>11</v>
      </c>
      <c r="D683" t="s">
        <v>12</v>
      </c>
      <c r="E683" t="s">
        <v>18</v>
      </c>
      <c r="F683" t="s">
        <v>29</v>
      </c>
      <c r="G683" s="1">
        <v>7702</v>
      </c>
      <c r="H683">
        <v>5</v>
      </c>
      <c r="I683" s="1">
        <f>supermarket_sales_new[[#This Row],[Unit price]]*supermarket_sales_new[[#This Row],[Quantity]]*5%</f>
        <v>1925.5</v>
      </c>
      <c r="J683" s="1">
        <f>(supermarket_sales_new[[#This Row],[Unit price]]*supermarket_sales_new[[#This Row],[Quantity]])+supermarket_sales_new[[#This Row],[Tax 5%]]</f>
        <v>40435.5</v>
      </c>
    </row>
    <row r="684" spans="1:10" x14ac:dyDescent="0.35">
      <c r="A684" t="s">
        <v>525</v>
      </c>
      <c r="B684" t="s">
        <v>707</v>
      </c>
      <c r="C684" t="s">
        <v>11</v>
      </c>
      <c r="D684" t="s">
        <v>12</v>
      </c>
      <c r="E684" t="s">
        <v>13</v>
      </c>
      <c r="F684" t="s">
        <v>27</v>
      </c>
      <c r="G684" s="1">
        <v>2348</v>
      </c>
      <c r="H684">
        <v>2</v>
      </c>
      <c r="I684" s="1">
        <f>supermarket_sales_new[[#This Row],[Unit price]]*supermarket_sales_new[[#This Row],[Quantity]]*5%</f>
        <v>234.8</v>
      </c>
      <c r="J684" s="1">
        <f>(supermarket_sales_new[[#This Row],[Unit price]]*supermarket_sales_new[[#This Row],[Quantity]])+supermarket_sales_new[[#This Row],[Tax 5%]]</f>
        <v>4930.8</v>
      </c>
    </row>
    <row r="685" spans="1:10" x14ac:dyDescent="0.35">
      <c r="A685" t="s">
        <v>525</v>
      </c>
      <c r="B685" t="s">
        <v>708</v>
      </c>
      <c r="C685" t="s">
        <v>16</v>
      </c>
      <c r="D685" t="s">
        <v>17</v>
      </c>
      <c r="E685" t="s">
        <v>13</v>
      </c>
      <c r="F685" t="s">
        <v>33</v>
      </c>
      <c r="G685" s="1">
        <v>147</v>
      </c>
      <c r="H685">
        <v>5</v>
      </c>
      <c r="I685" s="1">
        <f>supermarket_sales_new[[#This Row],[Unit price]]*supermarket_sales_new[[#This Row],[Quantity]]*5%</f>
        <v>36.75</v>
      </c>
      <c r="J685" s="1">
        <f>(supermarket_sales_new[[#This Row],[Unit price]]*supermarket_sales_new[[#This Row],[Quantity]])+supermarket_sales_new[[#This Row],[Tax 5%]]</f>
        <v>771.75</v>
      </c>
    </row>
    <row r="686" spans="1:10" x14ac:dyDescent="0.35">
      <c r="A686" t="s">
        <v>525</v>
      </c>
      <c r="B686" t="s">
        <v>709</v>
      </c>
      <c r="C686" t="s">
        <v>11</v>
      </c>
      <c r="D686" t="s">
        <v>12</v>
      </c>
      <c r="E686" t="s">
        <v>18</v>
      </c>
      <c r="F686" t="s">
        <v>29</v>
      </c>
      <c r="G686" s="1">
        <v>764</v>
      </c>
      <c r="H686">
        <v>9</v>
      </c>
      <c r="I686" s="1">
        <f>supermarket_sales_new[[#This Row],[Unit price]]*supermarket_sales_new[[#This Row],[Quantity]]*5%</f>
        <v>343.8</v>
      </c>
      <c r="J686" s="1">
        <f>(supermarket_sales_new[[#This Row],[Unit price]]*supermarket_sales_new[[#This Row],[Quantity]])+supermarket_sales_new[[#This Row],[Tax 5%]]</f>
        <v>7219.8</v>
      </c>
    </row>
    <row r="687" spans="1:10" x14ac:dyDescent="0.35">
      <c r="A687" t="s">
        <v>525</v>
      </c>
      <c r="B687" t="s">
        <v>710</v>
      </c>
      <c r="C687" t="s">
        <v>25</v>
      </c>
      <c r="D687" t="s">
        <v>26</v>
      </c>
      <c r="E687" t="s">
        <v>13</v>
      </c>
      <c r="F687" t="s">
        <v>19</v>
      </c>
      <c r="G687" s="1">
        <v>4809</v>
      </c>
      <c r="H687">
        <v>3</v>
      </c>
      <c r="I687" s="1">
        <f>supermarket_sales_new[[#This Row],[Unit price]]*supermarket_sales_new[[#This Row],[Quantity]]*5%</f>
        <v>721.35</v>
      </c>
      <c r="J687" s="1">
        <f>(supermarket_sales_new[[#This Row],[Unit price]]*supermarket_sales_new[[#This Row],[Quantity]])+supermarket_sales_new[[#This Row],[Tax 5%]]</f>
        <v>15148.35</v>
      </c>
    </row>
    <row r="688" spans="1:10" x14ac:dyDescent="0.35">
      <c r="A688" t="s">
        <v>525</v>
      </c>
      <c r="B688" t="s">
        <v>711</v>
      </c>
      <c r="C688" t="s">
        <v>11</v>
      </c>
      <c r="D688" t="s">
        <v>12</v>
      </c>
      <c r="E688" t="s">
        <v>18</v>
      </c>
      <c r="F688" t="s">
        <v>33</v>
      </c>
      <c r="G688" s="1">
        <v>4465</v>
      </c>
      <c r="H688">
        <v>3</v>
      </c>
      <c r="I688" s="1">
        <f>supermarket_sales_new[[#This Row],[Unit price]]*supermarket_sales_new[[#This Row],[Quantity]]*5%</f>
        <v>669.75</v>
      </c>
      <c r="J688" s="1">
        <f>(supermarket_sales_new[[#This Row],[Unit price]]*supermarket_sales_new[[#This Row],[Quantity]])+supermarket_sales_new[[#This Row],[Tax 5%]]</f>
        <v>14064.75</v>
      </c>
    </row>
    <row r="689" spans="1:10" x14ac:dyDescent="0.35">
      <c r="A689" t="s">
        <v>525</v>
      </c>
      <c r="B689" t="s">
        <v>712</v>
      </c>
      <c r="C689" t="s">
        <v>11</v>
      </c>
      <c r="D689" t="s">
        <v>12</v>
      </c>
      <c r="E689" t="s">
        <v>13</v>
      </c>
      <c r="F689" t="s">
        <v>19</v>
      </c>
      <c r="G689" s="1">
        <v>7195</v>
      </c>
      <c r="H689">
        <v>1</v>
      </c>
      <c r="I689" s="1">
        <f>supermarket_sales_new[[#This Row],[Unit price]]*supermarket_sales_new[[#This Row],[Quantity]]*5%</f>
        <v>359.75</v>
      </c>
      <c r="J689" s="1">
        <f>(supermarket_sales_new[[#This Row],[Unit price]]*supermarket_sales_new[[#This Row],[Quantity]])+supermarket_sales_new[[#This Row],[Tax 5%]]</f>
        <v>7554.75</v>
      </c>
    </row>
    <row r="690" spans="1:10" x14ac:dyDescent="0.35">
      <c r="A690" t="s">
        <v>525</v>
      </c>
      <c r="B690" t="s">
        <v>713</v>
      </c>
      <c r="C690" t="s">
        <v>11</v>
      </c>
      <c r="D690" t="s">
        <v>12</v>
      </c>
      <c r="E690" t="s">
        <v>18</v>
      </c>
      <c r="F690" t="s">
        <v>19</v>
      </c>
      <c r="G690" s="1">
        <v>2602</v>
      </c>
      <c r="H690">
        <v>7</v>
      </c>
      <c r="I690" s="1">
        <f>supermarket_sales_new[[#This Row],[Unit price]]*supermarket_sales_new[[#This Row],[Quantity]]*5%</f>
        <v>910.7</v>
      </c>
      <c r="J690" s="1">
        <f>(supermarket_sales_new[[#This Row],[Unit price]]*supermarket_sales_new[[#This Row],[Quantity]])+supermarket_sales_new[[#This Row],[Tax 5%]]</f>
        <v>19124.7</v>
      </c>
    </row>
    <row r="691" spans="1:10" x14ac:dyDescent="0.35">
      <c r="A691" t="s">
        <v>525</v>
      </c>
      <c r="B691" t="s">
        <v>714</v>
      </c>
      <c r="C691" t="s">
        <v>11</v>
      </c>
      <c r="D691" t="s">
        <v>12</v>
      </c>
      <c r="E691" t="s">
        <v>18</v>
      </c>
      <c r="F691" t="s">
        <v>19</v>
      </c>
      <c r="G691" s="1">
        <v>5169</v>
      </c>
      <c r="H691">
        <v>7</v>
      </c>
      <c r="I691" s="1">
        <f>supermarket_sales_new[[#This Row],[Unit price]]*supermarket_sales_new[[#This Row],[Quantity]]*5%</f>
        <v>1809.15</v>
      </c>
      <c r="J691" s="1">
        <f>(supermarket_sales_new[[#This Row],[Unit price]]*supermarket_sales_new[[#This Row],[Quantity]])+supermarket_sales_new[[#This Row],[Tax 5%]]</f>
        <v>37992.15</v>
      </c>
    </row>
    <row r="692" spans="1:10" x14ac:dyDescent="0.35">
      <c r="A692" t="s">
        <v>525</v>
      </c>
      <c r="B692" t="s">
        <v>715</v>
      </c>
      <c r="C692" t="s">
        <v>25</v>
      </c>
      <c r="D692" t="s">
        <v>26</v>
      </c>
      <c r="E692" t="s">
        <v>13</v>
      </c>
      <c r="F692" t="s">
        <v>22</v>
      </c>
      <c r="G692" s="1">
        <v>27</v>
      </c>
      <c r="H692">
        <v>9</v>
      </c>
      <c r="I692" s="1">
        <f>supermarket_sales_new[[#This Row],[Unit price]]*supermarket_sales_new[[#This Row],[Quantity]]*5%</f>
        <v>12.15</v>
      </c>
      <c r="J692" s="1">
        <f>(supermarket_sales_new[[#This Row],[Unit price]]*supermarket_sales_new[[#This Row],[Quantity]])+supermarket_sales_new[[#This Row],[Tax 5%]]</f>
        <v>255.15</v>
      </c>
    </row>
    <row r="693" spans="1:10" x14ac:dyDescent="0.35">
      <c r="A693" t="s">
        <v>525</v>
      </c>
      <c r="B693" t="s">
        <v>716</v>
      </c>
      <c r="C693" t="s">
        <v>25</v>
      </c>
      <c r="D693" t="s">
        <v>26</v>
      </c>
      <c r="E693" t="s">
        <v>18</v>
      </c>
      <c r="F693" t="s">
        <v>19</v>
      </c>
      <c r="G693" s="1">
        <v>275</v>
      </c>
      <c r="H693">
        <v>3</v>
      </c>
      <c r="I693" s="1">
        <f>supermarket_sales_new[[#This Row],[Unit price]]*supermarket_sales_new[[#This Row],[Quantity]]*5%</f>
        <v>41.25</v>
      </c>
      <c r="J693" s="1">
        <f>(supermarket_sales_new[[#This Row],[Unit price]]*supermarket_sales_new[[#This Row],[Quantity]])+supermarket_sales_new[[#This Row],[Tax 5%]]</f>
        <v>866.25</v>
      </c>
    </row>
    <row r="694" spans="1:10" x14ac:dyDescent="0.35">
      <c r="A694" t="s">
        <v>525</v>
      </c>
      <c r="B694" t="s">
        <v>717</v>
      </c>
      <c r="C694" t="s">
        <v>25</v>
      </c>
      <c r="D694" t="s">
        <v>26</v>
      </c>
      <c r="E694" t="s">
        <v>18</v>
      </c>
      <c r="F694" t="s">
        <v>33</v>
      </c>
      <c r="G694" s="1">
        <v>7497</v>
      </c>
      <c r="H694">
        <v>1</v>
      </c>
      <c r="I694" s="1">
        <f>supermarket_sales_new[[#This Row],[Unit price]]*supermarket_sales_new[[#This Row],[Quantity]]*5%</f>
        <v>374.85</v>
      </c>
      <c r="J694" s="1">
        <f>(supermarket_sales_new[[#This Row],[Unit price]]*supermarket_sales_new[[#This Row],[Quantity]])+supermarket_sales_new[[#This Row],[Tax 5%]]</f>
        <v>7871.85</v>
      </c>
    </row>
    <row r="695" spans="1:10" x14ac:dyDescent="0.35">
      <c r="A695" t="s">
        <v>525</v>
      </c>
      <c r="B695" t="s">
        <v>718</v>
      </c>
      <c r="C695" t="s">
        <v>11</v>
      </c>
      <c r="D695" t="s">
        <v>12</v>
      </c>
      <c r="E695" t="s">
        <v>13</v>
      </c>
      <c r="F695" t="s">
        <v>27</v>
      </c>
      <c r="G695" s="1">
        <v>8096</v>
      </c>
      <c r="H695">
        <v>8</v>
      </c>
      <c r="I695" s="1">
        <f>supermarket_sales_new[[#This Row],[Unit price]]*supermarket_sales_new[[#This Row],[Quantity]]*5%</f>
        <v>3238.4</v>
      </c>
      <c r="J695" s="1">
        <f>(supermarket_sales_new[[#This Row],[Unit price]]*supermarket_sales_new[[#This Row],[Quantity]])+supermarket_sales_new[[#This Row],[Tax 5%]]</f>
        <v>68006.399999999994</v>
      </c>
    </row>
    <row r="696" spans="1:10" x14ac:dyDescent="0.35">
      <c r="A696" t="s">
        <v>525</v>
      </c>
      <c r="B696" t="s">
        <v>719</v>
      </c>
      <c r="C696" t="s">
        <v>16</v>
      </c>
      <c r="D696" t="s">
        <v>17</v>
      </c>
      <c r="E696" t="s">
        <v>18</v>
      </c>
      <c r="F696" t="s">
        <v>27</v>
      </c>
      <c r="G696" s="1">
        <v>9979</v>
      </c>
      <c r="H696">
        <v>2</v>
      </c>
      <c r="I696" s="1">
        <f>supermarket_sales_new[[#This Row],[Unit price]]*supermarket_sales_new[[#This Row],[Quantity]]*5%</f>
        <v>997.90000000000009</v>
      </c>
      <c r="J696" s="1">
        <f>(supermarket_sales_new[[#This Row],[Unit price]]*supermarket_sales_new[[#This Row],[Quantity]])+supermarket_sales_new[[#This Row],[Tax 5%]]</f>
        <v>20955.900000000001</v>
      </c>
    </row>
    <row r="697" spans="1:10" x14ac:dyDescent="0.35">
      <c r="A697" t="s">
        <v>525</v>
      </c>
      <c r="B697" t="s">
        <v>720</v>
      </c>
      <c r="C697" t="s">
        <v>11</v>
      </c>
      <c r="D697" t="s">
        <v>12</v>
      </c>
      <c r="E697" t="s">
        <v>18</v>
      </c>
      <c r="F697" t="s">
        <v>22</v>
      </c>
      <c r="G697" s="1">
        <v>7322</v>
      </c>
      <c r="H697">
        <v>6</v>
      </c>
      <c r="I697" s="1">
        <f>supermarket_sales_new[[#This Row],[Unit price]]*supermarket_sales_new[[#This Row],[Quantity]]*5%</f>
        <v>2196.6</v>
      </c>
      <c r="J697" s="1">
        <f>(supermarket_sales_new[[#This Row],[Unit price]]*supermarket_sales_new[[#This Row],[Quantity]])+supermarket_sales_new[[#This Row],[Tax 5%]]</f>
        <v>46128.6</v>
      </c>
    </row>
    <row r="698" spans="1:10" x14ac:dyDescent="0.35">
      <c r="A698" t="s">
        <v>525</v>
      </c>
      <c r="B698" t="s">
        <v>721</v>
      </c>
      <c r="C698" t="s">
        <v>11</v>
      </c>
      <c r="D698" t="s">
        <v>12</v>
      </c>
      <c r="E698" t="s">
        <v>13</v>
      </c>
      <c r="F698" t="s">
        <v>22</v>
      </c>
      <c r="G698" s="1">
        <v>6594</v>
      </c>
      <c r="H698">
        <v>4</v>
      </c>
      <c r="I698" s="1">
        <f>supermarket_sales_new[[#This Row],[Unit price]]*supermarket_sales_new[[#This Row],[Quantity]]*5%</f>
        <v>1318.8000000000002</v>
      </c>
      <c r="J698" s="1">
        <f>(supermarket_sales_new[[#This Row],[Unit price]]*supermarket_sales_new[[#This Row],[Quantity]])+supermarket_sales_new[[#This Row],[Tax 5%]]</f>
        <v>27694.799999999999</v>
      </c>
    </row>
    <row r="699" spans="1:10" x14ac:dyDescent="0.35">
      <c r="A699" t="s">
        <v>525</v>
      </c>
      <c r="B699" t="s">
        <v>722</v>
      </c>
      <c r="C699" t="s">
        <v>11</v>
      </c>
      <c r="D699" t="s">
        <v>12</v>
      </c>
      <c r="E699" t="s">
        <v>13</v>
      </c>
      <c r="F699" t="s">
        <v>19</v>
      </c>
      <c r="G699" s="1">
        <v>215</v>
      </c>
      <c r="H699">
        <v>9</v>
      </c>
      <c r="I699" s="1">
        <f>supermarket_sales_new[[#This Row],[Unit price]]*supermarket_sales_new[[#This Row],[Quantity]]*5%</f>
        <v>96.75</v>
      </c>
      <c r="J699" s="1">
        <f>(supermarket_sales_new[[#This Row],[Unit price]]*supermarket_sales_new[[#This Row],[Quantity]])+supermarket_sales_new[[#This Row],[Tax 5%]]</f>
        <v>2031.75</v>
      </c>
    </row>
    <row r="700" spans="1:10" x14ac:dyDescent="0.35">
      <c r="A700" t="s">
        <v>525</v>
      </c>
      <c r="B700" t="s">
        <v>723</v>
      </c>
      <c r="C700" t="s">
        <v>16</v>
      </c>
      <c r="D700" t="s">
        <v>17</v>
      </c>
      <c r="E700" t="s">
        <v>18</v>
      </c>
      <c r="F700" t="s">
        <v>29</v>
      </c>
      <c r="G700" s="1">
        <v>4208</v>
      </c>
      <c r="H700">
        <v>6</v>
      </c>
      <c r="I700" s="1">
        <f>supermarket_sales_new[[#This Row],[Unit price]]*supermarket_sales_new[[#This Row],[Quantity]]*5%</f>
        <v>1262.4000000000001</v>
      </c>
      <c r="J700" s="1">
        <f>(supermarket_sales_new[[#This Row],[Unit price]]*supermarket_sales_new[[#This Row],[Quantity]])+supermarket_sales_new[[#This Row],[Tax 5%]]</f>
        <v>26510.400000000001</v>
      </c>
    </row>
    <row r="701" spans="1:10" x14ac:dyDescent="0.35">
      <c r="A701" t="s">
        <v>525</v>
      </c>
      <c r="B701" t="s">
        <v>724</v>
      </c>
      <c r="C701" t="s">
        <v>16</v>
      </c>
      <c r="D701" t="s">
        <v>17</v>
      </c>
      <c r="E701" t="s">
        <v>18</v>
      </c>
      <c r="F701" t="s">
        <v>33</v>
      </c>
      <c r="G701" s="1">
        <v>9549</v>
      </c>
      <c r="H701">
        <v>7</v>
      </c>
      <c r="I701" s="1">
        <f>supermarket_sales_new[[#This Row],[Unit price]]*supermarket_sales_new[[#This Row],[Quantity]]*5%</f>
        <v>3342.15</v>
      </c>
      <c r="J701" s="1">
        <f>(supermarket_sales_new[[#This Row],[Unit price]]*supermarket_sales_new[[#This Row],[Quantity]])+supermarket_sales_new[[#This Row],[Tax 5%]]</f>
        <v>70185.149999999994</v>
      </c>
    </row>
    <row r="702" spans="1:10" x14ac:dyDescent="0.35">
      <c r="A702" t="s">
        <v>525</v>
      </c>
      <c r="B702" t="s">
        <v>725</v>
      </c>
      <c r="C702" t="s">
        <v>16</v>
      </c>
      <c r="D702" t="s">
        <v>17</v>
      </c>
      <c r="E702" t="s">
        <v>13</v>
      </c>
      <c r="F702" t="s">
        <v>29</v>
      </c>
      <c r="G702" s="1">
        <v>9698</v>
      </c>
      <c r="H702">
        <v>4</v>
      </c>
      <c r="I702" s="1">
        <f>supermarket_sales_new[[#This Row],[Unit price]]*supermarket_sales_new[[#This Row],[Quantity]]*5%</f>
        <v>1939.6000000000001</v>
      </c>
      <c r="J702" s="1">
        <f>(supermarket_sales_new[[#This Row],[Unit price]]*supermarket_sales_new[[#This Row],[Quantity]])+supermarket_sales_new[[#This Row],[Tax 5%]]</f>
        <v>40731.599999999999</v>
      </c>
    </row>
    <row r="703" spans="1:10" x14ac:dyDescent="0.35">
      <c r="A703" t="s">
        <v>525</v>
      </c>
      <c r="B703" t="s">
        <v>726</v>
      </c>
      <c r="C703" t="s">
        <v>11</v>
      </c>
      <c r="D703" t="s">
        <v>12</v>
      </c>
      <c r="E703" t="s">
        <v>13</v>
      </c>
      <c r="F703" t="s">
        <v>33</v>
      </c>
      <c r="G703" s="1">
        <v>8233</v>
      </c>
      <c r="H703">
        <v>4</v>
      </c>
      <c r="I703" s="1">
        <f>supermarket_sales_new[[#This Row],[Unit price]]*supermarket_sales_new[[#This Row],[Quantity]]*5%</f>
        <v>1646.6000000000001</v>
      </c>
      <c r="J703" s="1">
        <f>(supermarket_sales_new[[#This Row],[Unit price]]*supermarket_sales_new[[#This Row],[Quantity]])+supermarket_sales_new[[#This Row],[Tax 5%]]</f>
        <v>34578.6</v>
      </c>
    </row>
    <row r="704" spans="1:10" x14ac:dyDescent="0.35">
      <c r="A704" t="s">
        <v>525</v>
      </c>
      <c r="B704" t="s">
        <v>727</v>
      </c>
      <c r="C704" t="s">
        <v>25</v>
      </c>
      <c r="D704" t="s">
        <v>26</v>
      </c>
      <c r="E704" t="s">
        <v>13</v>
      </c>
      <c r="F704" t="s">
        <v>33</v>
      </c>
      <c r="G704" s="1">
        <v>7582</v>
      </c>
      <c r="H704">
        <v>1</v>
      </c>
      <c r="I704" s="1">
        <f>supermarket_sales_new[[#This Row],[Unit price]]*supermarket_sales_new[[#This Row],[Quantity]]*5%</f>
        <v>379.1</v>
      </c>
      <c r="J704" s="1">
        <f>(supermarket_sales_new[[#This Row],[Unit price]]*supermarket_sales_new[[#This Row],[Quantity]])+supermarket_sales_new[[#This Row],[Tax 5%]]</f>
        <v>7961.1</v>
      </c>
    </row>
    <row r="705" spans="1:10" x14ac:dyDescent="0.35">
      <c r="A705" t="s">
        <v>525</v>
      </c>
      <c r="B705" t="s">
        <v>728</v>
      </c>
      <c r="C705" t="s">
        <v>16</v>
      </c>
      <c r="D705" t="s">
        <v>17</v>
      </c>
      <c r="E705" t="s">
        <v>18</v>
      </c>
      <c r="F705" t="s">
        <v>27</v>
      </c>
      <c r="G705" s="1">
        <v>4677</v>
      </c>
      <c r="H705">
        <v>6</v>
      </c>
      <c r="I705" s="1">
        <f>supermarket_sales_new[[#This Row],[Unit price]]*supermarket_sales_new[[#This Row],[Quantity]]*5%</f>
        <v>1403.1000000000001</v>
      </c>
      <c r="J705" s="1">
        <f>(supermarket_sales_new[[#This Row],[Unit price]]*supermarket_sales_new[[#This Row],[Quantity]])+supermarket_sales_new[[#This Row],[Tax 5%]]</f>
        <v>29465.1</v>
      </c>
    </row>
    <row r="706" spans="1:10" x14ac:dyDescent="0.35">
      <c r="A706" t="s">
        <v>525</v>
      </c>
      <c r="B706" t="s">
        <v>729</v>
      </c>
      <c r="C706" t="s">
        <v>25</v>
      </c>
      <c r="D706" t="s">
        <v>26</v>
      </c>
      <c r="E706" t="s">
        <v>18</v>
      </c>
      <c r="F706" t="s">
        <v>27</v>
      </c>
      <c r="G706" s="1">
        <v>1822</v>
      </c>
      <c r="H706">
        <v>7</v>
      </c>
      <c r="I706" s="1">
        <f>supermarket_sales_new[[#This Row],[Unit price]]*supermarket_sales_new[[#This Row],[Quantity]]*5%</f>
        <v>637.70000000000005</v>
      </c>
      <c r="J706" s="1">
        <f>(supermarket_sales_new[[#This Row],[Unit price]]*supermarket_sales_new[[#This Row],[Quantity]])+supermarket_sales_new[[#This Row],[Tax 5%]]</f>
        <v>13391.7</v>
      </c>
    </row>
    <row r="707" spans="1:10" x14ac:dyDescent="0.35">
      <c r="A707" t="s">
        <v>525</v>
      </c>
      <c r="B707" t="s">
        <v>730</v>
      </c>
      <c r="C707" t="s">
        <v>11</v>
      </c>
      <c r="D707" t="s">
        <v>12</v>
      </c>
      <c r="E707" t="s">
        <v>13</v>
      </c>
      <c r="F707" t="s">
        <v>19</v>
      </c>
      <c r="G707" s="1">
        <v>7682</v>
      </c>
      <c r="H707">
        <v>1</v>
      </c>
      <c r="I707" s="1">
        <f>supermarket_sales_new[[#This Row],[Unit price]]*supermarket_sales_new[[#This Row],[Quantity]]*5%</f>
        <v>384.1</v>
      </c>
      <c r="J707" s="1">
        <f>(supermarket_sales_new[[#This Row],[Unit price]]*supermarket_sales_new[[#This Row],[Quantity]])+supermarket_sales_new[[#This Row],[Tax 5%]]</f>
        <v>8066.1</v>
      </c>
    </row>
    <row r="708" spans="1:10" x14ac:dyDescent="0.35">
      <c r="A708" t="s">
        <v>525</v>
      </c>
      <c r="B708" t="s">
        <v>731</v>
      </c>
      <c r="C708" t="s">
        <v>25</v>
      </c>
      <c r="D708" t="s">
        <v>26</v>
      </c>
      <c r="E708" t="s">
        <v>18</v>
      </c>
      <c r="F708" t="s">
        <v>22</v>
      </c>
      <c r="G708" s="1">
        <v>1359</v>
      </c>
      <c r="H708">
        <v>9</v>
      </c>
      <c r="I708" s="1">
        <f>supermarket_sales_new[[#This Row],[Unit price]]*supermarket_sales_new[[#This Row],[Quantity]]*5%</f>
        <v>611.55000000000007</v>
      </c>
      <c r="J708" s="1">
        <f>(supermarket_sales_new[[#This Row],[Unit price]]*supermarket_sales_new[[#This Row],[Quantity]])+supermarket_sales_new[[#This Row],[Tax 5%]]</f>
        <v>12842.55</v>
      </c>
    </row>
    <row r="709" spans="1:10" x14ac:dyDescent="0.35">
      <c r="A709" t="s">
        <v>525</v>
      </c>
      <c r="B709" t="s">
        <v>732</v>
      </c>
      <c r="C709" t="s">
        <v>25</v>
      </c>
      <c r="D709" t="s">
        <v>26</v>
      </c>
      <c r="E709" t="s">
        <v>13</v>
      </c>
      <c r="F709" t="s">
        <v>19</v>
      </c>
      <c r="G709" s="1">
        <v>1924</v>
      </c>
      <c r="H709">
        <v>9</v>
      </c>
      <c r="I709" s="1">
        <f>supermarket_sales_new[[#This Row],[Unit price]]*supermarket_sales_new[[#This Row],[Quantity]]*5%</f>
        <v>865.80000000000007</v>
      </c>
      <c r="J709" s="1">
        <f>(supermarket_sales_new[[#This Row],[Unit price]]*supermarket_sales_new[[#This Row],[Quantity]])+supermarket_sales_new[[#This Row],[Tax 5%]]</f>
        <v>18181.8</v>
      </c>
    </row>
    <row r="710" spans="1:10" x14ac:dyDescent="0.35">
      <c r="A710" t="s">
        <v>525</v>
      </c>
      <c r="B710" t="s">
        <v>733</v>
      </c>
      <c r="C710" t="s">
        <v>16</v>
      </c>
      <c r="D710" t="s">
        <v>17</v>
      </c>
      <c r="E710" t="s">
        <v>18</v>
      </c>
      <c r="F710" t="s">
        <v>22</v>
      </c>
      <c r="G710" s="1">
        <v>4622</v>
      </c>
      <c r="H710">
        <v>4</v>
      </c>
      <c r="I710" s="1">
        <f>supermarket_sales_new[[#This Row],[Unit price]]*supermarket_sales_new[[#This Row],[Quantity]]*5%</f>
        <v>924.40000000000009</v>
      </c>
      <c r="J710" s="1">
        <f>(supermarket_sales_new[[#This Row],[Unit price]]*supermarket_sales_new[[#This Row],[Quantity]])+supermarket_sales_new[[#This Row],[Tax 5%]]</f>
        <v>19412.400000000001</v>
      </c>
    </row>
    <row r="711" spans="1:10" x14ac:dyDescent="0.35">
      <c r="A711" t="s">
        <v>525</v>
      </c>
      <c r="B711" t="s">
        <v>734</v>
      </c>
      <c r="C711" t="s">
        <v>16</v>
      </c>
      <c r="D711" t="s">
        <v>17</v>
      </c>
      <c r="E711" t="s">
        <v>13</v>
      </c>
      <c r="F711" t="s">
        <v>22</v>
      </c>
      <c r="G711" s="1">
        <v>1398</v>
      </c>
      <c r="H711">
        <v>1</v>
      </c>
      <c r="I711" s="1">
        <f>supermarket_sales_new[[#This Row],[Unit price]]*supermarket_sales_new[[#This Row],[Quantity]]*5%</f>
        <v>69.900000000000006</v>
      </c>
      <c r="J711" s="1">
        <f>(supermarket_sales_new[[#This Row],[Unit price]]*supermarket_sales_new[[#This Row],[Quantity]])+supermarket_sales_new[[#This Row],[Tax 5%]]</f>
        <v>1467.9</v>
      </c>
    </row>
    <row r="712" spans="1:10" x14ac:dyDescent="0.35">
      <c r="A712" t="s">
        <v>525</v>
      </c>
      <c r="B712" t="s">
        <v>735</v>
      </c>
      <c r="C712" t="s">
        <v>11</v>
      </c>
      <c r="D712" t="s">
        <v>12</v>
      </c>
      <c r="E712" t="s">
        <v>13</v>
      </c>
      <c r="F712" t="s">
        <v>33</v>
      </c>
      <c r="G712" s="1">
        <v>6726</v>
      </c>
      <c r="H712">
        <v>4</v>
      </c>
      <c r="I712" s="1">
        <f>supermarket_sales_new[[#This Row],[Unit price]]*supermarket_sales_new[[#This Row],[Quantity]]*5%</f>
        <v>1345.2</v>
      </c>
      <c r="J712" s="1">
        <f>(supermarket_sales_new[[#This Row],[Unit price]]*supermarket_sales_new[[#This Row],[Quantity]])+supermarket_sales_new[[#This Row],[Tax 5%]]</f>
        <v>28249.200000000001</v>
      </c>
    </row>
    <row r="713" spans="1:10" x14ac:dyDescent="0.35">
      <c r="A713" t="s">
        <v>525</v>
      </c>
      <c r="B713" t="s">
        <v>736</v>
      </c>
      <c r="C713" t="s">
        <v>11</v>
      </c>
      <c r="D713" t="s">
        <v>12</v>
      </c>
      <c r="E713" t="s">
        <v>18</v>
      </c>
      <c r="F713" t="s">
        <v>27</v>
      </c>
      <c r="G713" s="1">
        <v>1379</v>
      </c>
      <c r="H713">
        <v>5</v>
      </c>
      <c r="I713" s="1">
        <f>supermarket_sales_new[[#This Row],[Unit price]]*supermarket_sales_new[[#This Row],[Quantity]]*5%</f>
        <v>344.75</v>
      </c>
      <c r="J713" s="1">
        <f>(supermarket_sales_new[[#This Row],[Unit price]]*supermarket_sales_new[[#This Row],[Quantity]])+supermarket_sales_new[[#This Row],[Tax 5%]]</f>
        <v>7239.75</v>
      </c>
    </row>
    <row r="714" spans="1:10" x14ac:dyDescent="0.35">
      <c r="A714" t="s">
        <v>525</v>
      </c>
      <c r="B714" t="s">
        <v>737</v>
      </c>
      <c r="C714" t="s">
        <v>25</v>
      </c>
      <c r="D714" t="s">
        <v>26</v>
      </c>
      <c r="E714" t="s">
        <v>18</v>
      </c>
      <c r="F714" t="s">
        <v>33</v>
      </c>
      <c r="G714" s="1">
        <v>2187</v>
      </c>
      <c r="H714">
        <v>2</v>
      </c>
      <c r="I714" s="1">
        <f>supermarket_sales_new[[#This Row],[Unit price]]*supermarket_sales_new[[#This Row],[Quantity]]*5%</f>
        <v>218.70000000000002</v>
      </c>
      <c r="J714" s="1">
        <f>(supermarket_sales_new[[#This Row],[Unit price]]*supermarket_sales_new[[#This Row],[Quantity]])+supermarket_sales_new[[#This Row],[Tax 5%]]</f>
        <v>4592.7</v>
      </c>
    </row>
    <row r="715" spans="1:10" x14ac:dyDescent="0.35">
      <c r="A715" t="s">
        <v>525</v>
      </c>
      <c r="B715" t="s">
        <v>738</v>
      </c>
      <c r="C715" t="s">
        <v>11</v>
      </c>
      <c r="D715" t="s">
        <v>12</v>
      </c>
      <c r="E715" t="s">
        <v>13</v>
      </c>
      <c r="F715" t="s">
        <v>14</v>
      </c>
      <c r="G715" s="1">
        <v>2097</v>
      </c>
      <c r="H715">
        <v>5</v>
      </c>
      <c r="I715" s="1">
        <f>supermarket_sales_new[[#This Row],[Unit price]]*supermarket_sales_new[[#This Row],[Quantity]]*5%</f>
        <v>524.25</v>
      </c>
      <c r="J715" s="1">
        <f>(supermarket_sales_new[[#This Row],[Unit price]]*supermarket_sales_new[[#This Row],[Quantity]])+supermarket_sales_new[[#This Row],[Tax 5%]]</f>
        <v>11009.25</v>
      </c>
    </row>
    <row r="716" spans="1:10" x14ac:dyDescent="0.35">
      <c r="A716" t="s">
        <v>525</v>
      </c>
      <c r="B716" t="s">
        <v>739</v>
      </c>
      <c r="C716" t="s">
        <v>11</v>
      </c>
      <c r="D716" t="s">
        <v>12</v>
      </c>
      <c r="E716" t="s">
        <v>18</v>
      </c>
      <c r="F716" t="s">
        <v>33</v>
      </c>
      <c r="G716" s="1">
        <v>2584</v>
      </c>
      <c r="H716">
        <v>3</v>
      </c>
      <c r="I716" s="1">
        <f>supermarket_sales_new[[#This Row],[Unit price]]*supermarket_sales_new[[#This Row],[Quantity]]*5%</f>
        <v>387.6</v>
      </c>
      <c r="J716" s="1">
        <f>(supermarket_sales_new[[#This Row],[Unit price]]*supermarket_sales_new[[#This Row],[Quantity]])+supermarket_sales_new[[#This Row],[Tax 5%]]</f>
        <v>8139.6</v>
      </c>
    </row>
    <row r="717" spans="1:10" x14ac:dyDescent="0.35">
      <c r="A717" t="s">
        <v>525</v>
      </c>
      <c r="B717" t="s">
        <v>740</v>
      </c>
      <c r="C717" t="s">
        <v>11</v>
      </c>
      <c r="D717" t="s">
        <v>12</v>
      </c>
      <c r="E717" t="s">
        <v>18</v>
      </c>
      <c r="F717" t="s">
        <v>22</v>
      </c>
      <c r="G717" s="1">
        <v>5093</v>
      </c>
      <c r="H717">
        <v>8</v>
      </c>
      <c r="I717" s="1">
        <f>supermarket_sales_new[[#This Row],[Unit price]]*supermarket_sales_new[[#This Row],[Quantity]]*5%</f>
        <v>2037.2</v>
      </c>
      <c r="J717" s="1">
        <f>(supermarket_sales_new[[#This Row],[Unit price]]*supermarket_sales_new[[#This Row],[Quantity]])+supermarket_sales_new[[#This Row],[Tax 5%]]</f>
        <v>42781.2</v>
      </c>
    </row>
    <row r="718" spans="1:10" x14ac:dyDescent="0.35">
      <c r="A718" t="s">
        <v>525</v>
      </c>
      <c r="B718" t="s">
        <v>741</v>
      </c>
      <c r="C718" t="s">
        <v>25</v>
      </c>
      <c r="D718" t="s">
        <v>26</v>
      </c>
      <c r="E718" t="s">
        <v>18</v>
      </c>
      <c r="F718" t="s">
        <v>14</v>
      </c>
      <c r="G718" s="1">
        <v>9611</v>
      </c>
      <c r="H718">
        <v>1</v>
      </c>
      <c r="I718" s="1">
        <f>supermarket_sales_new[[#This Row],[Unit price]]*supermarket_sales_new[[#This Row],[Quantity]]*5%</f>
        <v>480.55</v>
      </c>
      <c r="J718" s="1">
        <f>(supermarket_sales_new[[#This Row],[Unit price]]*supermarket_sales_new[[#This Row],[Quantity]])+supermarket_sales_new[[#This Row],[Tax 5%]]</f>
        <v>10091.549999999999</v>
      </c>
    </row>
    <row r="719" spans="1:10" x14ac:dyDescent="0.35">
      <c r="A719" t="s">
        <v>525</v>
      </c>
      <c r="B719" t="s">
        <v>742</v>
      </c>
      <c r="C719" t="s">
        <v>25</v>
      </c>
      <c r="D719" t="s">
        <v>26</v>
      </c>
      <c r="E719" t="s">
        <v>13</v>
      </c>
      <c r="F719" t="s">
        <v>29</v>
      </c>
      <c r="G719" s="1">
        <v>2542</v>
      </c>
      <c r="H719">
        <v>8</v>
      </c>
      <c r="I719" s="1">
        <f>supermarket_sales_new[[#This Row],[Unit price]]*supermarket_sales_new[[#This Row],[Quantity]]*5%</f>
        <v>1016.8000000000001</v>
      </c>
      <c r="J719" s="1">
        <f>(supermarket_sales_new[[#This Row],[Unit price]]*supermarket_sales_new[[#This Row],[Quantity]])+supermarket_sales_new[[#This Row],[Tax 5%]]</f>
        <v>21352.799999999999</v>
      </c>
    </row>
    <row r="720" spans="1:10" x14ac:dyDescent="0.35">
      <c r="A720" t="s">
        <v>525</v>
      </c>
      <c r="B720" t="s">
        <v>743</v>
      </c>
      <c r="C720" t="s">
        <v>16</v>
      </c>
      <c r="D720" t="s">
        <v>17</v>
      </c>
      <c r="E720" t="s">
        <v>18</v>
      </c>
      <c r="F720" t="s">
        <v>29</v>
      </c>
      <c r="G720" s="1">
        <v>1628</v>
      </c>
      <c r="H720">
        <v>1</v>
      </c>
      <c r="I720" s="1">
        <f>supermarket_sales_new[[#This Row],[Unit price]]*supermarket_sales_new[[#This Row],[Quantity]]*5%</f>
        <v>81.400000000000006</v>
      </c>
      <c r="J720" s="1">
        <f>(supermarket_sales_new[[#This Row],[Unit price]]*supermarket_sales_new[[#This Row],[Quantity]])+supermarket_sales_new[[#This Row],[Tax 5%]]</f>
        <v>1709.4</v>
      </c>
    </row>
    <row r="721" spans="1:10" x14ac:dyDescent="0.35">
      <c r="A721" t="s">
        <v>525</v>
      </c>
      <c r="B721" t="s">
        <v>744</v>
      </c>
      <c r="C721" t="s">
        <v>25</v>
      </c>
      <c r="D721" t="s">
        <v>26</v>
      </c>
      <c r="E721" t="s">
        <v>13</v>
      </c>
      <c r="F721" t="s">
        <v>29</v>
      </c>
      <c r="G721" s="1">
        <v>4061</v>
      </c>
      <c r="H721">
        <v>9</v>
      </c>
      <c r="I721" s="1">
        <f>supermarket_sales_new[[#This Row],[Unit price]]*supermarket_sales_new[[#This Row],[Quantity]]*5%</f>
        <v>1827.45</v>
      </c>
      <c r="J721" s="1">
        <f>(supermarket_sales_new[[#This Row],[Unit price]]*supermarket_sales_new[[#This Row],[Quantity]])+supermarket_sales_new[[#This Row],[Tax 5%]]</f>
        <v>38376.449999999997</v>
      </c>
    </row>
    <row r="722" spans="1:10" x14ac:dyDescent="0.35">
      <c r="A722" t="s">
        <v>525</v>
      </c>
      <c r="B722" t="s">
        <v>745</v>
      </c>
      <c r="C722" t="s">
        <v>11</v>
      </c>
      <c r="D722" t="s">
        <v>12</v>
      </c>
      <c r="E722" t="s">
        <v>13</v>
      </c>
      <c r="F722" t="s">
        <v>14</v>
      </c>
      <c r="G722" s="1">
        <v>5317</v>
      </c>
      <c r="H722">
        <v>7</v>
      </c>
      <c r="I722" s="1">
        <f>supermarket_sales_new[[#This Row],[Unit price]]*supermarket_sales_new[[#This Row],[Quantity]]*5%</f>
        <v>1860.95</v>
      </c>
      <c r="J722" s="1">
        <f>(supermarket_sales_new[[#This Row],[Unit price]]*supermarket_sales_new[[#This Row],[Quantity]])+supermarket_sales_new[[#This Row],[Tax 5%]]</f>
        <v>39079.949999999997</v>
      </c>
    </row>
    <row r="723" spans="1:10" x14ac:dyDescent="0.35">
      <c r="A723" t="s">
        <v>525</v>
      </c>
      <c r="B723" t="s">
        <v>746</v>
      </c>
      <c r="C723" t="s">
        <v>25</v>
      </c>
      <c r="D723" t="s">
        <v>26</v>
      </c>
      <c r="E723" t="s">
        <v>18</v>
      </c>
      <c r="F723" t="s">
        <v>33</v>
      </c>
      <c r="G723" s="1">
        <v>6727</v>
      </c>
      <c r="H723">
        <v>5</v>
      </c>
      <c r="I723" s="1">
        <f>supermarket_sales_new[[#This Row],[Unit price]]*supermarket_sales_new[[#This Row],[Quantity]]*5%</f>
        <v>1681.75</v>
      </c>
      <c r="J723" s="1">
        <f>(supermarket_sales_new[[#This Row],[Unit price]]*supermarket_sales_new[[#This Row],[Quantity]])+supermarket_sales_new[[#This Row],[Tax 5%]]</f>
        <v>35316.75</v>
      </c>
    </row>
    <row r="724" spans="1:10" x14ac:dyDescent="0.35">
      <c r="A724" t="s">
        <v>525</v>
      </c>
      <c r="B724" t="s">
        <v>747</v>
      </c>
      <c r="C724" t="s">
        <v>25</v>
      </c>
      <c r="D724" t="s">
        <v>26</v>
      </c>
      <c r="E724" t="s">
        <v>18</v>
      </c>
      <c r="F724" t="s">
        <v>29</v>
      </c>
      <c r="G724" s="1">
        <v>6908</v>
      </c>
      <c r="H724">
        <v>2</v>
      </c>
      <c r="I724" s="1">
        <f>supermarket_sales_new[[#This Row],[Unit price]]*supermarket_sales_new[[#This Row],[Quantity]]*5%</f>
        <v>690.80000000000007</v>
      </c>
      <c r="J724" s="1">
        <f>(supermarket_sales_new[[#This Row],[Unit price]]*supermarket_sales_new[[#This Row],[Quantity]])+supermarket_sales_new[[#This Row],[Tax 5%]]</f>
        <v>14506.8</v>
      </c>
    </row>
    <row r="725" spans="1:10" x14ac:dyDescent="0.35">
      <c r="A725" t="s">
        <v>525</v>
      </c>
      <c r="B725" t="s">
        <v>748</v>
      </c>
      <c r="C725" t="s">
        <v>16</v>
      </c>
      <c r="D725" t="s">
        <v>17</v>
      </c>
      <c r="E725" t="s">
        <v>18</v>
      </c>
      <c r="F725" t="s">
        <v>27</v>
      </c>
      <c r="G725" s="1">
        <v>4327</v>
      </c>
      <c r="H725">
        <v>2</v>
      </c>
      <c r="I725" s="1">
        <f>supermarket_sales_new[[#This Row],[Unit price]]*supermarket_sales_new[[#This Row],[Quantity]]*5%</f>
        <v>432.70000000000005</v>
      </c>
      <c r="J725" s="1">
        <f>(supermarket_sales_new[[#This Row],[Unit price]]*supermarket_sales_new[[#This Row],[Quantity]])+supermarket_sales_new[[#This Row],[Tax 5%]]</f>
        <v>9086.7000000000007</v>
      </c>
    </row>
    <row r="726" spans="1:10" x14ac:dyDescent="0.35">
      <c r="A726" t="s">
        <v>525</v>
      </c>
      <c r="B726" t="s">
        <v>749</v>
      </c>
      <c r="C726" t="s">
        <v>25</v>
      </c>
      <c r="D726" t="s">
        <v>26</v>
      </c>
      <c r="E726" t="s">
        <v>18</v>
      </c>
      <c r="F726" t="s">
        <v>29</v>
      </c>
      <c r="G726" s="1">
        <v>9554</v>
      </c>
      <c r="H726">
        <v>7</v>
      </c>
      <c r="I726" s="1">
        <f>supermarket_sales_new[[#This Row],[Unit price]]*supermarket_sales_new[[#This Row],[Quantity]]*5%</f>
        <v>3343.9</v>
      </c>
      <c r="J726" s="1">
        <f>(supermarket_sales_new[[#This Row],[Unit price]]*supermarket_sales_new[[#This Row],[Quantity]])+supermarket_sales_new[[#This Row],[Tax 5%]]</f>
        <v>70221.899999999994</v>
      </c>
    </row>
    <row r="727" spans="1:10" x14ac:dyDescent="0.35">
      <c r="A727" t="s">
        <v>525</v>
      </c>
      <c r="B727" t="s">
        <v>750</v>
      </c>
      <c r="C727" t="s">
        <v>16</v>
      </c>
      <c r="D727" t="s">
        <v>17</v>
      </c>
      <c r="E727" t="s">
        <v>18</v>
      </c>
      <c r="F727" t="s">
        <v>33</v>
      </c>
      <c r="G727" s="1">
        <v>9924</v>
      </c>
      <c r="H727">
        <v>9</v>
      </c>
      <c r="I727" s="1">
        <f>supermarket_sales_new[[#This Row],[Unit price]]*supermarket_sales_new[[#This Row],[Quantity]]*5%</f>
        <v>4465.8</v>
      </c>
      <c r="J727" s="1">
        <f>(supermarket_sales_new[[#This Row],[Unit price]]*supermarket_sales_new[[#This Row],[Quantity]])+supermarket_sales_new[[#This Row],[Tax 5%]]</f>
        <v>93781.8</v>
      </c>
    </row>
    <row r="728" spans="1:10" x14ac:dyDescent="0.35">
      <c r="A728" t="s">
        <v>525</v>
      </c>
      <c r="B728" t="s">
        <v>751</v>
      </c>
      <c r="C728" t="s">
        <v>16</v>
      </c>
      <c r="D728" t="s">
        <v>17</v>
      </c>
      <c r="E728" t="s">
        <v>13</v>
      </c>
      <c r="F728" t="s">
        <v>33</v>
      </c>
      <c r="G728" s="1">
        <v>8293</v>
      </c>
      <c r="H728">
        <v>4</v>
      </c>
      <c r="I728" s="1">
        <f>supermarket_sales_new[[#This Row],[Unit price]]*supermarket_sales_new[[#This Row],[Quantity]]*5%</f>
        <v>1658.6000000000001</v>
      </c>
      <c r="J728" s="1">
        <f>(supermarket_sales_new[[#This Row],[Unit price]]*supermarket_sales_new[[#This Row],[Quantity]])+supermarket_sales_new[[#This Row],[Tax 5%]]</f>
        <v>34830.6</v>
      </c>
    </row>
    <row r="729" spans="1:10" x14ac:dyDescent="0.35">
      <c r="A729" t="s">
        <v>525</v>
      </c>
      <c r="B729" t="s">
        <v>752</v>
      </c>
      <c r="C729" t="s">
        <v>11</v>
      </c>
      <c r="D729" t="s">
        <v>12</v>
      </c>
      <c r="E729" t="s">
        <v>18</v>
      </c>
      <c r="F729" t="s">
        <v>22</v>
      </c>
      <c r="G729" s="1">
        <v>3399</v>
      </c>
      <c r="H729">
        <v>6</v>
      </c>
      <c r="I729" s="1">
        <f>supermarket_sales_new[[#This Row],[Unit price]]*supermarket_sales_new[[#This Row],[Quantity]]*5%</f>
        <v>1019.7</v>
      </c>
      <c r="J729" s="1">
        <f>(supermarket_sales_new[[#This Row],[Unit price]]*supermarket_sales_new[[#This Row],[Quantity]])+supermarket_sales_new[[#This Row],[Tax 5%]]</f>
        <v>21413.7</v>
      </c>
    </row>
    <row r="730" spans="1:10" x14ac:dyDescent="0.35">
      <c r="A730" t="s">
        <v>525</v>
      </c>
      <c r="B730" t="s">
        <v>753</v>
      </c>
      <c r="C730" t="s">
        <v>16</v>
      </c>
      <c r="D730" t="s">
        <v>17</v>
      </c>
      <c r="E730" t="s">
        <v>13</v>
      </c>
      <c r="F730" t="s">
        <v>27</v>
      </c>
      <c r="G730" s="1">
        <v>1704</v>
      </c>
      <c r="H730">
        <v>4</v>
      </c>
      <c r="I730" s="1">
        <f>supermarket_sales_new[[#This Row],[Unit price]]*supermarket_sales_new[[#This Row],[Quantity]]*5%</f>
        <v>340.8</v>
      </c>
      <c r="J730" s="1">
        <f>(supermarket_sales_new[[#This Row],[Unit price]]*supermarket_sales_new[[#This Row],[Quantity]])+supermarket_sales_new[[#This Row],[Tax 5%]]</f>
        <v>7156.8</v>
      </c>
    </row>
    <row r="731" spans="1:10" x14ac:dyDescent="0.35">
      <c r="A731" t="s">
        <v>525</v>
      </c>
      <c r="B731" t="s">
        <v>754</v>
      </c>
      <c r="C731" t="s">
        <v>16</v>
      </c>
      <c r="D731" t="s">
        <v>17</v>
      </c>
      <c r="E731" t="s">
        <v>13</v>
      </c>
      <c r="F731" t="s">
        <v>27</v>
      </c>
      <c r="G731" s="1">
        <v>1744</v>
      </c>
      <c r="H731">
        <v>5</v>
      </c>
      <c r="I731" s="1">
        <f>supermarket_sales_new[[#This Row],[Unit price]]*supermarket_sales_new[[#This Row],[Quantity]]*5%</f>
        <v>436</v>
      </c>
      <c r="J731" s="1">
        <f>(supermarket_sales_new[[#This Row],[Unit price]]*supermarket_sales_new[[#This Row],[Quantity]])+supermarket_sales_new[[#This Row],[Tax 5%]]</f>
        <v>9156</v>
      </c>
    </row>
    <row r="732" spans="1:10" x14ac:dyDescent="0.35">
      <c r="A732" t="s">
        <v>525</v>
      </c>
      <c r="B732" t="s">
        <v>755</v>
      </c>
      <c r="C732" t="s">
        <v>16</v>
      </c>
      <c r="D732" t="s">
        <v>17</v>
      </c>
      <c r="E732" t="s">
        <v>18</v>
      </c>
      <c r="F732" t="s">
        <v>29</v>
      </c>
      <c r="G732" s="1">
        <v>1278</v>
      </c>
      <c r="H732">
        <v>1</v>
      </c>
      <c r="I732" s="1">
        <f>supermarket_sales_new[[#This Row],[Unit price]]*supermarket_sales_new[[#This Row],[Quantity]]*5%</f>
        <v>63.900000000000006</v>
      </c>
      <c r="J732" s="1">
        <f>(supermarket_sales_new[[#This Row],[Unit price]]*supermarket_sales_new[[#This Row],[Quantity]])+supermarket_sales_new[[#This Row],[Tax 5%]]</f>
        <v>1341.9</v>
      </c>
    </row>
    <row r="733" spans="1:10" x14ac:dyDescent="0.35">
      <c r="A733" t="s">
        <v>525</v>
      </c>
      <c r="B733" t="s">
        <v>756</v>
      </c>
      <c r="C733" t="s">
        <v>16</v>
      </c>
      <c r="D733" t="s">
        <v>17</v>
      </c>
      <c r="E733" t="s">
        <v>13</v>
      </c>
      <c r="F733" t="s">
        <v>27</v>
      </c>
      <c r="G733" s="1">
        <v>2766</v>
      </c>
      <c r="H733">
        <v>10</v>
      </c>
      <c r="I733" s="1">
        <f>supermarket_sales_new[[#This Row],[Unit price]]*supermarket_sales_new[[#This Row],[Quantity]]*5%</f>
        <v>1383</v>
      </c>
      <c r="J733" s="1">
        <f>(supermarket_sales_new[[#This Row],[Unit price]]*supermarket_sales_new[[#This Row],[Quantity]])+supermarket_sales_new[[#This Row],[Tax 5%]]</f>
        <v>29043</v>
      </c>
    </row>
    <row r="734" spans="1:10" x14ac:dyDescent="0.35">
      <c r="A734" t="s">
        <v>525</v>
      </c>
      <c r="B734" t="s">
        <v>757</v>
      </c>
      <c r="C734" t="s">
        <v>16</v>
      </c>
      <c r="D734" t="s">
        <v>17</v>
      </c>
      <c r="E734" t="s">
        <v>18</v>
      </c>
      <c r="F734" t="s">
        <v>29</v>
      </c>
      <c r="G734" s="1">
        <v>4574</v>
      </c>
      <c r="H734">
        <v>3</v>
      </c>
      <c r="I734" s="1">
        <f>supermarket_sales_new[[#This Row],[Unit price]]*supermarket_sales_new[[#This Row],[Quantity]]*5%</f>
        <v>686.1</v>
      </c>
      <c r="J734" s="1">
        <f>(supermarket_sales_new[[#This Row],[Unit price]]*supermarket_sales_new[[#This Row],[Quantity]])+supermarket_sales_new[[#This Row],[Tax 5%]]</f>
        <v>14408.1</v>
      </c>
    </row>
    <row r="735" spans="1:10" x14ac:dyDescent="0.35">
      <c r="A735" t="s">
        <v>525</v>
      </c>
      <c r="B735" t="s">
        <v>758</v>
      </c>
      <c r="C735" t="s">
        <v>25</v>
      </c>
      <c r="D735" t="s">
        <v>26</v>
      </c>
      <c r="E735" t="s">
        <v>18</v>
      </c>
      <c r="F735" t="s">
        <v>19</v>
      </c>
      <c r="G735" s="1">
        <v>2201</v>
      </c>
      <c r="H735">
        <v>6</v>
      </c>
      <c r="I735" s="1">
        <f>supermarket_sales_new[[#This Row],[Unit price]]*supermarket_sales_new[[#This Row],[Quantity]]*5%</f>
        <v>660.30000000000007</v>
      </c>
      <c r="J735" s="1">
        <f>(supermarket_sales_new[[#This Row],[Unit price]]*supermarket_sales_new[[#This Row],[Quantity]])+supermarket_sales_new[[#This Row],[Tax 5%]]</f>
        <v>13866.3</v>
      </c>
    </row>
    <row r="736" spans="1:10" x14ac:dyDescent="0.35">
      <c r="A736" t="s">
        <v>525</v>
      </c>
      <c r="B736" t="s">
        <v>759</v>
      </c>
      <c r="C736" t="s">
        <v>11</v>
      </c>
      <c r="D736" t="s">
        <v>12</v>
      </c>
      <c r="E736" t="s">
        <v>18</v>
      </c>
      <c r="F736" t="s">
        <v>14</v>
      </c>
      <c r="G736" s="1">
        <v>25</v>
      </c>
      <c r="H736">
        <v>1</v>
      </c>
      <c r="I736" s="1">
        <f>supermarket_sales_new[[#This Row],[Unit price]]*supermarket_sales_new[[#This Row],[Quantity]]*5%</f>
        <v>1.25</v>
      </c>
      <c r="J736" s="1">
        <f>(supermarket_sales_new[[#This Row],[Unit price]]*supermarket_sales_new[[#This Row],[Quantity]])+supermarket_sales_new[[#This Row],[Tax 5%]]</f>
        <v>26.25</v>
      </c>
    </row>
    <row r="737" spans="1:10" x14ac:dyDescent="0.35">
      <c r="A737" t="s">
        <v>525</v>
      </c>
      <c r="B737" t="s">
        <v>760</v>
      </c>
      <c r="C737" t="s">
        <v>11</v>
      </c>
      <c r="D737" t="s">
        <v>12</v>
      </c>
      <c r="E737" t="s">
        <v>13</v>
      </c>
      <c r="F737" t="s">
        <v>19</v>
      </c>
      <c r="G737" s="1">
        <v>2077</v>
      </c>
      <c r="H737">
        <v>4</v>
      </c>
      <c r="I737" s="1">
        <f>supermarket_sales_new[[#This Row],[Unit price]]*supermarket_sales_new[[#This Row],[Quantity]]*5%</f>
        <v>415.40000000000003</v>
      </c>
      <c r="J737" s="1">
        <f>(supermarket_sales_new[[#This Row],[Unit price]]*supermarket_sales_new[[#This Row],[Quantity]])+supermarket_sales_new[[#This Row],[Tax 5%]]</f>
        <v>8723.4</v>
      </c>
    </row>
    <row r="738" spans="1:10" x14ac:dyDescent="0.35">
      <c r="A738" t="s">
        <v>525</v>
      </c>
      <c r="B738" t="s">
        <v>761</v>
      </c>
      <c r="C738" t="s">
        <v>25</v>
      </c>
      <c r="D738" t="s">
        <v>26</v>
      </c>
      <c r="E738" t="s">
        <v>18</v>
      </c>
      <c r="F738" t="s">
        <v>19</v>
      </c>
      <c r="G738" s="1">
        <v>7939</v>
      </c>
      <c r="H738">
        <v>10</v>
      </c>
      <c r="I738" s="1">
        <f>supermarket_sales_new[[#This Row],[Unit price]]*supermarket_sales_new[[#This Row],[Quantity]]*5%</f>
        <v>3969.5</v>
      </c>
      <c r="J738" s="1">
        <f>(supermarket_sales_new[[#This Row],[Unit price]]*supermarket_sales_new[[#This Row],[Quantity]])+supermarket_sales_new[[#This Row],[Tax 5%]]</f>
        <v>83359.5</v>
      </c>
    </row>
    <row r="739" spans="1:10" x14ac:dyDescent="0.35">
      <c r="A739" t="s">
        <v>525</v>
      </c>
      <c r="B739" t="s">
        <v>762</v>
      </c>
      <c r="C739" t="s">
        <v>16</v>
      </c>
      <c r="D739" t="s">
        <v>17</v>
      </c>
      <c r="E739" t="s">
        <v>18</v>
      </c>
      <c r="F739" t="s">
        <v>27</v>
      </c>
      <c r="G739" s="1">
        <v>3589</v>
      </c>
      <c r="H739">
        <v>1</v>
      </c>
      <c r="I739" s="1">
        <f>supermarket_sales_new[[#This Row],[Unit price]]*supermarket_sales_new[[#This Row],[Quantity]]*5%</f>
        <v>179.45000000000002</v>
      </c>
      <c r="J739" s="1">
        <f>(supermarket_sales_new[[#This Row],[Unit price]]*supermarket_sales_new[[#This Row],[Quantity]])+supermarket_sales_new[[#This Row],[Tax 5%]]</f>
        <v>3768.45</v>
      </c>
    </row>
    <row r="740" spans="1:10" x14ac:dyDescent="0.35">
      <c r="A740" t="s">
        <v>525</v>
      </c>
      <c r="B740" t="s">
        <v>763</v>
      </c>
      <c r="C740" t="s">
        <v>16</v>
      </c>
      <c r="D740" t="s">
        <v>17</v>
      </c>
      <c r="E740" t="s">
        <v>18</v>
      </c>
      <c r="F740" t="s">
        <v>27</v>
      </c>
      <c r="G740" s="1">
        <v>4052</v>
      </c>
      <c r="H740">
        <v>5</v>
      </c>
      <c r="I740" s="1">
        <f>supermarket_sales_new[[#This Row],[Unit price]]*supermarket_sales_new[[#This Row],[Quantity]]*5%</f>
        <v>1013</v>
      </c>
      <c r="J740" s="1">
        <f>(supermarket_sales_new[[#This Row],[Unit price]]*supermarket_sales_new[[#This Row],[Quantity]])+supermarket_sales_new[[#This Row],[Tax 5%]]</f>
        <v>21273</v>
      </c>
    </row>
    <row r="741" spans="1:10" x14ac:dyDescent="0.35">
      <c r="A741" t="s">
        <v>525</v>
      </c>
      <c r="B741" t="s">
        <v>764</v>
      </c>
      <c r="C741" t="s">
        <v>11</v>
      </c>
      <c r="D741" t="s">
        <v>12</v>
      </c>
      <c r="E741" t="s">
        <v>13</v>
      </c>
      <c r="F741" t="s">
        <v>27</v>
      </c>
      <c r="G741" s="1">
        <v>5134</v>
      </c>
      <c r="H741">
        <v>5</v>
      </c>
      <c r="I741" s="1">
        <f>supermarket_sales_new[[#This Row],[Unit price]]*supermarket_sales_new[[#This Row],[Quantity]]*5%</f>
        <v>1283.5</v>
      </c>
      <c r="J741" s="1">
        <f>(supermarket_sales_new[[#This Row],[Unit price]]*supermarket_sales_new[[#This Row],[Quantity]])+supermarket_sales_new[[#This Row],[Tax 5%]]</f>
        <v>26953.5</v>
      </c>
    </row>
    <row r="742" spans="1:10" x14ac:dyDescent="0.35">
      <c r="A742" t="s">
        <v>525</v>
      </c>
      <c r="B742" t="s">
        <v>765</v>
      </c>
      <c r="C742" t="s">
        <v>25</v>
      </c>
      <c r="D742" t="s">
        <v>26</v>
      </c>
      <c r="E742" t="s">
        <v>18</v>
      </c>
      <c r="F742" t="s">
        <v>33</v>
      </c>
      <c r="G742" s="1">
        <v>3702</v>
      </c>
      <c r="H742">
        <v>6</v>
      </c>
      <c r="I742" s="1">
        <f>supermarket_sales_new[[#This Row],[Unit price]]*supermarket_sales_new[[#This Row],[Quantity]]*5%</f>
        <v>1110.6000000000001</v>
      </c>
      <c r="J742" s="1">
        <f>(supermarket_sales_new[[#This Row],[Unit price]]*supermarket_sales_new[[#This Row],[Quantity]])+supermarket_sales_new[[#This Row],[Tax 5%]]</f>
        <v>23322.6</v>
      </c>
    </row>
    <row r="743" spans="1:10" x14ac:dyDescent="0.35">
      <c r="A743" t="s">
        <v>525</v>
      </c>
      <c r="B743" t="s">
        <v>766</v>
      </c>
      <c r="C743" t="s">
        <v>16</v>
      </c>
      <c r="D743" t="s">
        <v>17</v>
      </c>
      <c r="E743" t="s">
        <v>18</v>
      </c>
      <c r="F743" t="s">
        <v>27</v>
      </c>
      <c r="G743" s="1">
        <v>2158</v>
      </c>
      <c r="H743">
        <v>1</v>
      </c>
      <c r="I743" s="1">
        <f>supermarket_sales_new[[#This Row],[Unit price]]*supermarket_sales_new[[#This Row],[Quantity]]*5%</f>
        <v>107.9</v>
      </c>
      <c r="J743" s="1">
        <f>(supermarket_sales_new[[#This Row],[Unit price]]*supermarket_sales_new[[#This Row],[Quantity]])+supermarket_sales_new[[#This Row],[Tax 5%]]</f>
        <v>2265.9</v>
      </c>
    </row>
    <row r="744" spans="1:10" x14ac:dyDescent="0.35">
      <c r="A744" t="s">
        <v>525</v>
      </c>
      <c r="B744" t="s">
        <v>767</v>
      </c>
      <c r="C744" t="s">
        <v>11</v>
      </c>
      <c r="D744" t="s">
        <v>12</v>
      </c>
      <c r="E744" t="s">
        <v>13</v>
      </c>
      <c r="F744" t="s">
        <v>29</v>
      </c>
      <c r="G744" s="1">
        <v>4313</v>
      </c>
      <c r="H744">
        <v>10</v>
      </c>
      <c r="I744" s="1">
        <f>supermarket_sales_new[[#This Row],[Unit price]]*supermarket_sales_new[[#This Row],[Quantity]]*5%</f>
        <v>2156.5</v>
      </c>
      <c r="J744" s="1">
        <f>(supermarket_sales_new[[#This Row],[Unit price]]*supermarket_sales_new[[#This Row],[Quantity]])+supermarket_sales_new[[#This Row],[Tax 5%]]</f>
        <v>45286.5</v>
      </c>
    </row>
    <row r="745" spans="1:10" x14ac:dyDescent="0.35">
      <c r="A745" t="s">
        <v>525</v>
      </c>
      <c r="B745" t="s">
        <v>768</v>
      </c>
      <c r="C745" t="s">
        <v>25</v>
      </c>
      <c r="D745" t="s">
        <v>26</v>
      </c>
      <c r="E745" t="s">
        <v>13</v>
      </c>
      <c r="F745" t="s">
        <v>14</v>
      </c>
      <c r="G745" s="1">
        <v>7257</v>
      </c>
      <c r="H745">
        <v>8</v>
      </c>
      <c r="I745" s="1">
        <f>supermarket_sales_new[[#This Row],[Unit price]]*supermarket_sales_new[[#This Row],[Quantity]]*5%</f>
        <v>2902.8</v>
      </c>
      <c r="J745" s="1">
        <f>(supermarket_sales_new[[#This Row],[Unit price]]*supermarket_sales_new[[#This Row],[Quantity]])+supermarket_sales_new[[#This Row],[Tax 5%]]</f>
        <v>60958.8</v>
      </c>
    </row>
    <row r="746" spans="1:10" x14ac:dyDescent="0.35">
      <c r="A746" t="s">
        <v>525</v>
      </c>
      <c r="B746" t="s">
        <v>769</v>
      </c>
      <c r="C746" t="s">
        <v>11</v>
      </c>
      <c r="D746" t="s">
        <v>12</v>
      </c>
      <c r="E746" t="s">
        <v>18</v>
      </c>
      <c r="F746" t="s">
        <v>14</v>
      </c>
      <c r="G746" s="1">
        <v>6518</v>
      </c>
      <c r="H746">
        <v>3</v>
      </c>
      <c r="I746" s="1">
        <f>supermarket_sales_new[[#This Row],[Unit price]]*supermarket_sales_new[[#This Row],[Quantity]]*5%</f>
        <v>977.7</v>
      </c>
      <c r="J746" s="1">
        <f>(supermarket_sales_new[[#This Row],[Unit price]]*supermarket_sales_new[[#This Row],[Quantity]])+supermarket_sales_new[[#This Row],[Tax 5%]]</f>
        <v>20531.7</v>
      </c>
    </row>
    <row r="747" spans="1:10" x14ac:dyDescent="0.35">
      <c r="A747" t="s">
        <v>525</v>
      </c>
      <c r="B747" t="s">
        <v>770</v>
      </c>
      <c r="C747" t="s">
        <v>16</v>
      </c>
      <c r="D747" t="s">
        <v>17</v>
      </c>
      <c r="E747" t="s">
        <v>18</v>
      </c>
      <c r="F747" t="s">
        <v>19</v>
      </c>
      <c r="G747" s="1">
        <v>8407</v>
      </c>
      <c r="H747">
        <v>4</v>
      </c>
      <c r="I747" s="1">
        <f>supermarket_sales_new[[#This Row],[Unit price]]*supermarket_sales_new[[#This Row],[Quantity]]*5%</f>
        <v>1681.4</v>
      </c>
      <c r="J747" s="1">
        <f>(supermarket_sales_new[[#This Row],[Unit price]]*supermarket_sales_new[[#This Row],[Quantity]])+supermarket_sales_new[[#This Row],[Tax 5%]]</f>
        <v>35309.4</v>
      </c>
    </row>
    <row r="748" spans="1:10" x14ac:dyDescent="0.35">
      <c r="A748" t="s">
        <v>525</v>
      </c>
      <c r="B748" t="s">
        <v>771</v>
      </c>
      <c r="C748" t="s">
        <v>25</v>
      </c>
      <c r="D748" t="s">
        <v>26</v>
      </c>
      <c r="E748" t="s">
        <v>18</v>
      </c>
      <c r="F748" t="s">
        <v>33</v>
      </c>
      <c r="G748" s="1">
        <v>3437</v>
      </c>
      <c r="H748">
        <v>10</v>
      </c>
      <c r="I748" s="1">
        <f>supermarket_sales_new[[#This Row],[Unit price]]*supermarket_sales_new[[#This Row],[Quantity]]*5%</f>
        <v>1718.5</v>
      </c>
      <c r="J748" s="1">
        <f>(supermarket_sales_new[[#This Row],[Unit price]]*supermarket_sales_new[[#This Row],[Quantity]])+supermarket_sales_new[[#This Row],[Tax 5%]]</f>
        <v>36088.5</v>
      </c>
    </row>
    <row r="749" spans="1:10" x14ac:dyDescent="0.35">
      <c r="A749" t="s">
        <v>525</v>
      </c>
      <c r="B749" t="s">
        <v>772</v>
      </c>
      <c r="C749" t="s">
        <v>11</v>
      </c>
      <c r="D749" t="s">
        <v>12</v>
      </c>
      <c r="E749" t="s">
        <v>18</v>
      </c>
      <c r="F749" t="s">
        <v>19</v>
      </c>
      <c r="G749" s="1">
        <v>386</v>
      </c>
      <c r="H749">
        <v>1</v>
      </c>
      <c r="I749" s="1">
        <f>supermarket_sales_new[[#This Row],[Unit price]]*supermarket_sales_new[[#This Row],[Quantity]]*5%</f>
        <v>19.3</v>
      </c>
      <c r="J749" s="1">
        <f>(supermarket_sales_new[[#This Row],[Unit price]]*supermarket_sales_new[[#This Row],[Quantity]])+supermarket_sales_new[[#This Row],[Tax 5%]]</f>
        <v>405.3</v>
      </c>
    </row>
    <row r="750" spans="1:10" x14ac:dyDescent="0.35">
      <c r="A750" t="s">
        <v>525</v>
      </c>
      <c r="B750" t="s">
        <v>773</v>
      </c>
      <c r="C750" t="s">
        <v>16</v>
      </c>
      <c r="D750" t="s">
        <v>17</v>
      </c>
      <c r="E750" t="s">
        <v>18</v>
      </c>
      <c r="F750" t="s">
        <v>27</v>
      </c>
      <c r="G750" s="1">
        <v>6597</v>
      </c>
      <c r="H750">
        <v>8</v>
      </c>
      <c r="I750" s="1">
        <f>supermarket_sales_new[[#This Row],[Unit price]]*supermarket_sales_new[[#This Row],[Quantity]]*5%</f>
        <v>2638.8</v>
      </c>
      <c r="J750" s="1">
        <f>(supermarket_sales_new[[#This Row],[Unit price]]*supermarket_sales_new[[#This Row],[Quantity]])+supermarket_sales_new[[#This Row],[Tax 5%]]</f>
        <v>55414.8</v>
      </c>
    </row>
    <row r="751" spans="1:10" x14ac:dyDescent="0.35">
      <c r="A751" t="s">
        <v>525</v>
      </c>
      <c r="B751" t="s">
        <v>774</v>
      </c>
      <c r="C751" t="s">
        <v>11</v>
      </c>
      <c r="D751" t="s">
        <v>12</v>
      </c>
      <c r="E751" t="s">
        <v>18</v>
      </c>
      <c r="F751" t="s">
        <v>33</v>
      </c>
      <c r="G751" s="1">
        <v>3714</v>
      </c>
      <c r="H751">
        <v>5</v>
      </c>
      <c r="I751" s="1">
        <f>supermarket_sales_new[[#This Row],[Unit price]]*supermarket_sales_new[[#This Row],[Quantity]]*5%</f>
        <v>928.5</v>
      </c>
      <c r="J751" s="1">
        <f>(supermarket_sales_new[[#This Row],[Unit price]]*supermarket_sales_new[[#This Row],[Quantity]])+supermarket_sales_new[[#This Row],[Tax 5%]]</f>
        <v>19498.5</v>
      </c>
    </row>
    <row r="752" spans="1:10" x14ac:dyDescent="0.35">
      <c r="A752" t="s">
        <v>525</v>
      </c>
      <c r="B752" t="s">
        <v>775</v>
      </c>
      <c r="C752" t="s">
        <v>25</v>
      </c>
      <c r="D752" t="s">
        <v>26</v>
      </c>
      <c r="E752" t="s">
        <v>13</v>
      </c>
      <c r="F752" t="s">
        <v>22</v>
      </c>
      <c r="G752" s="1">
        <v>6038</v>
      </c>
      <c r="H752">
        <v>10</v>
      </c>
      <c r="I752" s="1">
        <f>supermarket_sales_new[[#This Row],[Unit price]]*supermarket_sales_new[[#This Row],[Quantity]]*5%</f>
        <v>3019</v>
      </c>
      <c r="J752" s="1">
        <f>(supermarket_sales_new[[#This Row],[Unit price]]*supermarket_sales_new[[#This Row],[Quantity]])+supermarket_sales_new[[#This Row],[Tax 5%]]</f>
        <v>63399</v>
      </c>
    </row>
    <row r="753" spans="1:10" x14ac:dyDescent="0.35">
      <c r="A753" t="s">
        <v>525</v>
      </c>
      <c r="B753" t="s">
        <v>776</v>
      </c>
      <c r="C753" t="s">
        <v>11</v>
      </c>
      <c r="D753" t="s">
        <v>12</v>
      </c>
      <c r="E753" t="s">
        <v>18</v>
      </c>
      <c r="F753" t="s">
        <v>29</v>
      </c>
      <c r="G753" s="1">
        <v>3715</v>
      </c>
      <c r="H753">
        <v>4</v>
      </c>
      <c r="I753" s="1">
        <f>supermarket_sales_new[[#This Row],[Unit price]]*supermarket_sales_new[[#This Row],[Quantity]]*5%</f>
        <v>743</v>
      </c>
      <c r="J753" s="1">
        <f>(supermarket_sales_new[[#This Row],[Unit price]]*supermarket_sales_new[[#This Row],[Quantity]])+supermarket_sales_new[[#This Row],[Tax 5%]]</f>
        <v>15603</v>
      </c>
    </row>
    <row r="754" spans="1:10" x14ac:dyDescent="0.35">
      <c r="A754" t="s">
        <v>525</v>
      </c>
      <c r="B754" t="s">
        <v>777</v>
      </c>
      <c r="C754" t="s">
        <v>16</v>
      </c>
      <c r="D754" t="s">
        <v>17</v>
      </c>
      <c r="E754" t="s">
        <v>18</v>
      </c>
      <c r="F754" t="s">
        <v>22</v>
      </c>
      <c r="G754" s="1">
        <v>2296</v>
      </c>
      <c r="H754">
        <v>1</v>
      </c>
      <c r="I754" s="1">
        <f>supermarket_sales_new[[#This Row],[Unit price]]*supermarket_sales_new[[#This Row],[Quantity]]*5%</f>
        <v>114.80000000000001</v>
      </c>
      <c r="J754" s="1">
        <f>(supermarket_sales_new[[#This Row],[Unit price]]*supermarket_sales_new[[#This Row],[Quantity]])+supermarket_sales_new[[#This Row],[Tax 5%]]</f>
        <v>2410.8000000000002</v>
      </c>
    </row>
    <row r="755" spans="1:10" x14ac:dyDescent="0.35">
      <c r="A755" t="s">
        <v>525</v>
      </c>
      <c r="B755" t="s">
        <v>778</v>
      </c>
      <c r="C755" t="s">
        <v>25</v>
      </c>
      <c r="D755" t="s">
        <v>26</v>
      </c>
      <c r="E755" t="s">
        <v>18</v>
      </c>
      <c r="F755" t="s">
        <v>29</v>
      </c>
      <c r="G755" s="1">
        <v>9989</v>
      </c>
      <c r="H755">
        <v>2</v>
      </c>
      <c r="I755" s="1">
        <f>supermarket_sales_new[[#This Row],[Unit price]]*supermarket_sales_new[[#This Row],[Quantity]]*5%</f>
        <v>998.90000000000009</v>
      </c>
      <c r="J755" s="1">
        <f>(supermarket_sales_new[[#This Row],[Unit price]]*supermarket_sales_new[[#This Row],[Quantity]])+supermarket_sales_new[[#This Row],[Tax 5%]]</f>
        <v>20976.9</v>
      </c>
    </row>
    <row r="756" spans="1:10" x14ac:dyDescent="0.35">
      <c r="A756" t="s">
        <v>525</v>
      </c>
      <c r="B756" t="s">
        <v>779</v>
      </c>
      <c r="C756" t="s">
        <v>25</v>
      </c>
      <c r="D756" t="s">
        <v>26</v>
      </c>
      <c r="E756" t="s">
        <v>18</v>
      </c>
      <c r="F756" t="s">
        <v>33</v>
      </c>
      <c r="G756" s="1">
        <v>7592</v>
      </c>
      <c r="H756">
        <v>8</v>
      </c>
      <c r="I756" s="1">
        <f>supermarket_sales_new[[#This Row],[Unit price]]*supermarket_sales_new[[#This Row],[Quantity]]*5%</f>
        <v>3036.8</v>
      </c>
      <c r="J756" s="1">
        <f>(supermarket_sales_new[[#This Row],[Unit price]]*supermarket_sales_new[[#This Row],[Quantity]])+supermarket_sales_new[[#This Row],[Tax 5%]]</f>
        <v>63772.800000000003</v>
      </c>
    </row>
    <row r="757" spans="1:10" x14ac:dyDescent="0.35">
      <c r="A757" t="s">
        <v>525</v>
      </c>
      <c r="B757" t="s">
        <v>780</v>
      </c>
      <c r="C757" t="s">
        <v>25</v>
      </c>
      <c r="D757" t="s">
        <v>26</v>
      </c>
      <c r="E757" t="s">
        <v>13</v>
      </c>
      <c r="F757" t="s">
        <v>33</v>
      </c>
      <c r="G757" s="1">
        <v>7397</v>
      </c>
      <c r="H757">
        <v>1</v>
      </c>
      <c r="I757" s="1">
        <f>supermarket_sales_new[[#This Row],[Unit price]]*supermarket_sales_new[[#This Row],[Quantity]]*5%</f>
        <v>369.85</v>
      </c>
      <c r="J757" s="1">
        <f>(supermarket_sales_new[[#This Row],[Unit price]]*supermarket_sales_new[[#This Row],[Quantity]])+supermarket_sales_new[[#This Row],[Tax 5%]]</f>
        <v>7766.85</v>
      </c>
    </row>
    <row r="758" spans="1:10" x14ac:dyDescent="0.35">
      <c r="A758" t="s">
        <v>525</v>
      </c>
      <c r="B758" t="s">
        <v>781</v>
      </c>
      <c r="C758" t="s">
        <v>16</v>
      </c>
      <c r="D758" t="s">
        <v>17</v>
      </c>
      <c r="E758" t="s">
        <v>18</v>
      </c>
      <c r="F758" t="s">
        <v>22</v>
      </c>
      <c r="G758" s="1">
        <v>694</v>
      </c>
      <c r="H758">
        <v>2</v>
      </c>
      <c r="I758" s="1">
        <f>supermarket_sales_new[[#This Row],[Unit price]]*supermarket_sales_new[[#This Row],[Quantity]]*5%</f>
        <v>69.400000000000006</v>
      </c>
      <c r="J758" s="1">
        <f>(supermarket_sales_new[[#This Row],[Unit price]]*supermarket_sales_new[[#This Row],[Quantity]])+supermarket_sales_new[[#This Row],[Tax 5%]]</f>
        <v>1457.4</v>
      </c>
    </row>
    <row r="759" spans="1:10" x14ac:dyDescent="0.35">
      <c r="A759" t="s">
        <v>525</v>
      </c>
      <c r="B759" t="s">
        <v>782</v>
      </c>
      <c r="C759" t="s">
        <v>25</v>
      </c>
      <c r="D759" t="s">
        <v>26</v>
      </c>
      <c r="E759" t="s">
        <v>18</v>
      </c>
      <c r="F759" t="s">
        <v>33</v>
      </c>
      <c r="G759" s="1">
        <v>8845</v>
      </c>
      <c r="H759">
        <v>1</v>
      </c>
      <c r="I759" s="1">
        <f>supermarket_sales_new[[#This Row],[Unit price]]*supermarket_sales_new[[#This Row],[Quantity]]*5%</f>
        <v>442.25</v>
      </c>
      <c r="J759" s="1">
        <f>(supermarket_sales_new[[#This Row],[Unit price]]*supermarket_sales_new[[#This Row],[Quantity]])+supermarket_sales_new[[#This Row],[Tax 5%]]</f>
        <v>9287.25</v>
      </c>
    </row>
    <row r="760" spans="1:10" x14ac:dyDescent="0.35">
      <c r="A760" t="s">
        <v>525</v>
      </c>
      <c r="B760" t="s">
        <v>783</v>
      </c>
      <c r="C760" t="s">
        <v>11</v>
      </c>
      <c r="D760" t="s">
        <v>12</v>
      </c>
      <c r="E760" t="s">
        <v>13</v>
      </c>
      <c r="F760" t="s">
        <v>19</v>
      </c>
      <c r="G760" s="1">
        <v>2418</v>
      </c>
      <c r="H760">
        <v>8</v>
      </c>
      <c r="I760" s="1">
        <f>supermarket_sales_new[[#This Row],[Unit price]]*supermarket_sales_new[[#This Row],[Quantity]]*5%</f>
        <v>967.2</v>
      </c>
      <c r="J760" s="1">
        <f>(supermarket_sales_new[[#This Row],[Unit price]]*supermarket_sales_new[[#This Row],[Quantity]])+supermarket_sales_new[[#This Row],[Tax 5%]]</f>
        <v>20311.2</v>
      </c>
    </row>
    <row r="761" spans="1:10" x14ac:dyDescent="0.35">
      <c r="A761" t="s">
        <v>525</v>
      </c>
      <c r="B761" t="s">
        <v>784</v>
      </c>
      <c r="C761" t="s">
        <v>25</v>
      </c>
      <c r="D761" t="s">
        <v>26</v>
      </c>
      <c r="E761" t="s">
        <v>13</v>
      </c>
      <c r="F761" t="s">
        <v>14</v>
      </c>
      <c r="G761" s="1">
        <v>6129</v>
      </c>
      <c r="H761">
        <v>5</v>
      </c>
      <c r="I761" s="1">
        <f>supermarket_sales_new[[#This Row],[Unit price]]*supermarket_sales_new[[#This Row],[Quantity]]*5%</f>
        <v>1532.25</v>
      </c>
      <c r="J761" s="1">
        <f>(supermarket_sales_new[[#This Row],[Unit price]]*supermarket_sales_new[[#This Row],[Quantity]])+supermarket_sales_new[[#This Row],[Tax 5%]]</f>
        <v>32177.25</v>
      </c>
    </row>
    <row r="762" spans="1:10" x14ac:dyDescent="0.35">
      <c r="A762" t="s">
        <v>525</v>
      </c>
      <c r="B762" t="s">
        <v>785</v>
      </c>
      <c r="C762" t="s">
        <v>11</v>
      </c>
      <c r="D762" t="s">
        <v>12</v>
      </c>
      <c r="E762" t="s">
        <v>18</v>
      </c>
      <c r="F762" t="s">
        <v>19</v>
      </c>
      <c r="G762" s="1">
        <v>9955</v>
      </c>
      <c r="H762">
        <v>7</v>
      </c>
      <c r="I762" s="1">
        <f>supermarket_sales_new[[#This Row],[Unit price]]*supermarket_sales_new[[#This Row],[Quantity]]*5%</f>
        <v>3484.25</v>
      </c>
      <c r="J762" s="1">
        <f>(supermarket_sales_new[[#This Row],[Unit price]]*supermarket_sales_new[[#This Row],[Quantity]])+supermarket_sales_new[[#This Row],[Tax 5%]]</f>
        <v>73169.25</v>
      </c>
    </row>
    <row r="763" spans="1:10" x14ac:dyDescent="0.35">
      <c r="A763" t="s">
        <v>525</v>
      </c>
      <c r="B763" t="s">
        <v>786</v>
      </c>
      <c r="C763" t="s">
        <v>16</v>
      </c>
      <c r="D763" t="s">
        <v>17</v>
      </c>
      <c r="E763" t="s">
        <v>13</v>
      </c>
      <c r="F763" t="s">
        <v>33</v>
      </c>
      <c r="G763" s="1">
        <v>5839</v>
      </c>
      <c r="H763">
        <v>7</v>
      </c>
      <c r="I763" s="1">
        <f>supermarket_sales_new[[#This Row],[Unit price]]*supermarket_sales_new[[#This Row],[Quantity]]*5%</f>
        <v>2043.65</v>
      </c>
      <c r="J763" s="1">
        <f>(supermarket_sales_new[[#This Row],[Unit price]]*supermarket_sales_new[[#This Row],[Quantity]])+supermarket_sales_new[[#This Row],[Tax 5%]]</f>
        <v>42916.65</v>
      </c>
    </row>
    <row r="764" spans="1:10" x14ac:dyDescent="0.35">
      <c r="A764" t="s">
        <v>525</v>
      </c>
      <c r="B764" t="s">
        <v>787</v>
      </c>
      <c r="C764" t="s">
        <v>25</v>
      </c>
      <c r="D764" t="s">
        <v>26</v>
      </c>
      <c r="E764" t="s">
        <v>13</v>
      </c>
      <c r="F764" t="s">
        <v>14</v>
      </c>
      <c r="G764" s="1">
        <v>5486</v>
      </c>
      <c r="H764">
        <v>5</v>
      </c>
      <c r="I764" s="1">
        <f>supermarket_sales_new[[#This Row],[Unit price]]*supermarket_sales_new[[#This Row],[Quantity]]*5%</f>
        <v>1371.5</v>
      </c>
      <c r="J764" s="1">
        <f>(supermarket_sales_new[[#This Row],[Unit price]]*supermarket_sales_new[[#This Row],[Quantity]])+supermarket_sales_new[[#This Row],[Tax 5%]]</f>
        <v>28801.5</v>
      </c>
    </row>
    <row r="765" spans="1:10" x14ac:dyDescent="0.35">
      <c r="A765" t="s">
        <v>525</v>
      </c>
      <c r="B765" t="s">
        <v>788</v>
      </c>
      <c r="C765" t="s">
        <v>16</v>
      </c>
      <c r="D765" t="s">
        <v>17</v>
      </c>
      <c r="E765" t="s">
        <v>13</v>
      </c>
      <c r="F765" t="s">
        <v>22</v>
      </c>
      <c r="G765" s="1">
        <v>3939</v>
      </c>
      <c r="H765">
        <v>5</v>
      </c>
      <c r="I765" s="1">
        <f>supermarket_sales_new[[#This Row],[Unit price]]*supermarket_sales_new[[#This Row],[Quantity]]*5%</f>
        <v>984.75</v>
      </c>
      <c r="J765" s="1">
        <f>(supermarket_sales_new[[#This Row],[Unit price]]*supermarket_sales_new[[#This Row],[Quantity]])+supermarket_sales_new[[#This Row],[Tax 5%]]</f>
        <v>20679.75</v>
      </c>
    </row>
    <row r="766" spans="1:10" x14ac:dyDescent="0.35">
      <c r="A766" t="s">
        <v>525</v>
      </c>
      <c r="B766" t="s">
        <v>789</v>
      </c>
      <c r="C766" t="s">
        <v>11</v>
      </c>
      <c r="D766" t="s">
        <v>12</v>
      </c>
      <c r="E766" t="s">
        <v>18</v>
      </c>
      <c r="F766" t="s">
        <v>22</v>
      </c>
      <c r="G766" s="1">
        <v>3473</v>
      </c>
      <c r="H766">
        <v>2</v>
      </c>
      <c r="I766" s="1">
        <f>supermarket_sales_new[[#This Row],[Unit price]]*supermarket_sales_new[[#This Row],[Quantity]]*5%</f>
        <v>347.3</v>
      </c>
      <c r="J766" s="1">
        <f>(supermarket_sales_new[[#This Row],[Unit price]]*supermarket_sales_new[[#This Row],[Quantity]])+supermarket_sales_new[[#This Row],[Tax 5%]]</f>
        <v>7293.3</v>
      </c>
    </row>
    <row r="767" spans="1:10" x14ac:dyDescent="0.35">
      <c r="A767" t="s">
        <v>525</v>
      </c>
      <c r="B767" t="s">
        <v>790</v>
      </c>
      <c r="C767" t="s">
        <v>16</v>
      </c>
      <c r="D767" t="s">
        <v>17</v>
      </c>
      <c r="E767" t="s">
        <v>13</v>
      </c>
      <c r="F767" t="s">
        <v>33</v>
      </c>
      <c r="G767" s="1">
        <v>7192</v>
      </c>
      <c r="H767">
        <v>5</v>
      </c>
      <c r="I767" s="1">
        <f>supermarket_sales_new[[#This Row],[Unit price]]*supermarket_sales_new[[#This Row],[Quantity]]*5%</f>
        <v>1798</v>
      </c>
      <c r="J767" s="1">
        <f>(supermarket_sales_new[[#This Row],[Unit price]]*supermarket_sales_new[[#This Row],[Quantity]])+supermarket_sales_new[[#This Row],[Tax 5%]]</f>
        <v>37758</v>
      </c>
    </row>
    <row r="768" spans="1:10" x14ac:dyDescent="0.35">
      <c r="A768" t="s">
        <v>525</v>
      </c>
      <c r="B768" t="s">
        <v>791</v>
      </c>
      <c r="C768" t="s">
        <v>16</v>
      </c>
      <c r="D768" t="s">
        <v>17</v>
      </c>
      <c r="E768" t="s">
        <v>18</v>
      </c>
      <c r="F768" t="s">
        <v>14</v>
      </c>
      <c r="G768" s="1">
        <v>6287</v>
      </c>
      <c r="H768">
        <v>2</v>
      </c>
      <c r="I768" s="1">
        <f>supermarket_sales_new[[#This Row],[Unit price]]*supermarket_sales_new[[#This Row],[Quantity]]*5%</f>
        <v>628.70000000000005</v>
      </c>
      <c r="J768" s="1">
        <f>(supermarket_sales_new[[#This Row],[Unit price]]*supermarket_sales_new[[#This Row],[Quantity]])+supermarket_sales_new[[#This Row],[Tax 5%]]</f>
        <v>13202.7</v>
      </c>
    </row>
    <row r="769" spans="1:10" x14ac:dyDescent="0.35">
      <c r="A769" t="s">
        <v>525</v>
      </c>
      <c r="B769" t="s">
        <v>792</v>
      </c>
      <c r="C769" t="s">
        <v>11</v>
      </c>
      <c r="D769" t="s">
        <v>12</v>
      </c>
      <c r="E769" t="s">
        <v>18</v>
      </c>
      <c r="F769" t="s">
        <v>27</v>
      </c>
      <c r="G769" s="1">
        <v>8171</v>
      </c>
      <c r="H769">
        <v>6</v>
      </c>
      <c r="I769" s="1">
        <f>supermarket_sales_new[[#This Row],[Unit price]]*supermarket_sales_new[[#This Row],[Quantity]]*5%</f>
        <v>2451.3000000000002</v>
      </c>
      <c r="J769" s="1">
        <f>(supermarket_sales_new[[#This Row],[Unit price]]*supermarket_sales_new[[#This Row],[Quantity]])+supermarket_sales_new[[#This Row],[Tax 5%]]</f>
        <v>51477.3</v>
      </c>
    </row>
    <row r="770" spans="1:10" x14ac:dyDescent="0.35">
      <c r="A770" t="s">
        <v>525</v>
      </c>
      <c r="B770" t="s">
        <v>793</v>
      </c>
      <c r="C770" t="s">
        <v>25</v>
      </c>
      <c r="D770" t="s">
        <v>26</v>
      </c>
      <c r="E770" t="s">
        <v>18</v>
      </c>
      <c r="F770" t="s">
        <v>29</v>
      </c>
      <c r="G770" s="1">
        <v>3921</v>
      </c>
      <c r="H770">
        <v>4</v>
      </c>
      <c r="I770" s="1">
        <f>supermarket_sales_new[[#This Row],[Unit price]]*supermarket_sales_new[[#This Row],[Quantity]]*5%</f>
        <v>784.2</v>
      </c>
      <c r="J770" s="1">
        <f>(supermarket_sales_new[[#This Row],[Unit price]]*supermarket_sales_new[[#This Row],[Quantity]])+supermarket_sales_new[[#This Row],[Tax 5%]]</f>
        <v>16468.2</v>
      </c>
    </row>
    <row r="771" spans="1:10" x14ac:dyDescent="0.35">
      <c r="A771" t="s">
        <v>525</v>
      </c>
      <c r="B771" t="s">
        <v>794</v>
      </c>
      <c r="C771" t="s">
        <v>25</v>
      </c>
      <c r="D771" t="s">
        <v>26</v>
      </c>
      <c r="E771" t="s">
        <v>13</v>
      </c>
      <c r="F771" t="s">
        <v>29</v>
      </c>
      <c r="G771" s="1">
        <v>5986</v>
      </c>
      <c r="H771">
        <v>2</v>
      </c>
      <c r="I771" s="1">
        <f>supermarket_sales_new[[#This Row],[Unit price]]*supermarket_sales_new[[#This Row],[Quantity]]*5%</f>
        <v>598.6</v>
      </c>
      <c r="J771" s="1">
        <f>(supermarket_sales_new[[#This Row],[Unit price]]*supermarket_sales_new[[#This Row],[Quantity]])+supermarket_sales_new[[#This Row],[Tax 5%]]</f>
        <v>12570.6</v>
      </c>
    </row>
    <row r="772" spans="1:10" x14ac:dyDescent="0.35">
      <c r="A772" t="s">
        <v>525</v>
      </c>
      <c r="B772" t="s">
        <v>795</v>
      </c>
      <c r="C772" t="s">
        <v>11</v>
      </c>
      <c r="D772" t="s">
        <v>12</v>
      </c>
      <c r="E772" t="s">
        <v>18</v>
      </c>
      <c r="F772" t="s">
        <v>33</v>
      </c>
      <c r="G772" s="1">
        <v>9809</v>
      </c>
      <c r="H772">
        <v>9</v>
      </c>
      <c r="I772" s="1">
        <f>supermarket_sales_new[[#This Row],[Unit price]]*supermarket_sales_new[[#This Row],[Quantity]]*5%</f>
        <v>4414.05</v>
      </c>
      <c r="J772" s="1">
        <f>(supermarket_sales_new[[#This Row],[Unit price]]*supermarket_sales_new[[#This Row],[Quantity]])+supermarket_sales_new[[#This Row],[Tax 5%]]</f>
        <v>92695.05</v>
      </c>
    </row>
    <row r="773" spans="1:10" x14ac:dyDescent="0.35">
      <c r="A773" t="s">
        <v>525</v>
      </c>
      <c r="B773" t="s">
        <v>796</v>
      </c>
      <c r="C773" t="s">
        <v>11</v>
      </c>
      <c r="D773" t="s">
        <v>12</v>
      </c>
      <c r="E773" t="s">
        <v>18</v>
      </c>
      <c r="F773" t="s">
        <v>14</v>
      </c>
      <c r="G773" s="1">
        <v>2543</v>
      </c>
      <c r="H773">
        <v>6</v>
      </c>
      <c r="I773" s="1">
        <f>supermarket_sales_new[[#This Row],[Unit price]]*supermarket_sales_new[[#This Row],[Quantity]]*5%</f>
        <v>762.90000000000009</v>
      </c>
      <c r="J773" s="1">
        <f>(supermarket_sales_new[[#This Row],[Unit price]]*supermarket_sales_new[[#This Row],[Quantity]])+supermarket_sales_new[[#This Row],[Tax 5%]]</f>
        <v>16020.9</v>
      </c>
    </row>
    <row r="774" spans="1:10" x14ac:dyDescent="0.35">
      <c r="A774" t="s">
        <v>525</v>
      </c>
      <c r="B774" t="s">
        <v>797</v>
      </c>
      <c r="C774" t="s">
        <v>11</v>
      </c>
      <c r="D774" t="s">
        <v>12</v>
      </c>
      <c r="E774" t="s">
        <v>13</v>
      </c>
      <c r="F774" t="s">
        <v>29</v>
      </c>
      <c r="G774" s="1">
        <v>8668</v>
      </c>
      <c r="H774">
        <v>8</v>
      </c>
      <c r="I774" s="1">
        <f>supermarket_sales_new[[#This Row],[Unit price]]*supermarket_sales_new[[#This Row],[Quantity]]*5%</f>
        <v>3467.2000000000003</v>
      </c>
      <c r="J774" s="1">
        <f>(supermarket_sales_new[[#This Row],[Unit price]]*supermarket_sales_new[[#This Row],[Quantity]])+supermarket_sales_new[[#This Row],[Tax 5%]]</f>
        <v>72811.199999999997</v>
      </c>
    </row>
    <row r="775" spans="1:10" x14ac:dyDescent="0.35">
      <c r="A775" t="s">
        <v>525</v>
      </c>
      <c r="B775" t="s">
        <v>798</v>
      </c>
      <c r="C775" t="s">
        <v>25</v>
      </c>
      <c r="D775" t="s">
        <v>26</v>
      </c>
      <c r="E775" t="s">
        <v>18</v>
      </c>
      <c r="F775" t="s">
        <v>19</v>
      </c>
      <c r="G775" s="1">
        <v>2295</v>
      </c>
      <c r="H775">
        <v>10</v>
      </c>
      <c r="I775" s="1">
        <f>supermarket_sales_new[[#This Row],[Unit price]]*supermarket_sales_new[[#This Row],[Quantity]]*5%</f>
        <v>1147.5</v>
      </c>
      <c r="J775" s="1">
        <f>(supermarket_sales_new[[#This Row],[Unit price]]*supermarket_sales_new[[#This Row],[Quantity]])+supermarket_sales_new[[#This Row],[Tax 5%]]</f>
        <v>24097.5</v>
      </c>
    </row>
    <row r="776" spans="1:10" x14ac:dyDescent="0.35">
      <c r="A776" t="s">
        <v>525</v>
      </c>
      <c r="B776" t="s">
        <v>799</v>
      </c>
      <c r="C776" t="s">
        <v>16</v>
      </c>
      <c r="D776" t="s">
        <v>17</v>
      </c>
      <c r="E776" t="s">
        <v>18</v>
      </c>
      <c r="F776" t="s">
        <v>22</v>
      </c>
      <c r="G776" s="1">
        <v>1667</v>
      </c>
      <c r="H776">
        <v>7</v>
      </c>
      <c r="I776" s="1">
        <f>supermarket_sales_new[[#This Row],[Unit price]]*supermarket_sales_new[[#This Row],[Quantity]]*5%</f>
        <v>583.45000000000005</v>
      </c>
      <c r="J776" s="1">
        <f>(supermarket_sales_new[[#This Row],[Unit price]]*supermarket_sales_new[[#This Row],[Quantity]])+supermarket_sales_new[[#This Row],[Tax 5%]]</f>
        <v>12252.45</v>
      </c>
    </row>
    <row r="777" spans="1:10" x14ac:dyDescent="0.35">
      <c r="A777" t="s">
        <v>525</v>
      </c>
      <c r="B777" t="s">
        <v>800</v>
      </c>
      <c r="C777" t="s">
        <v>11</v>
      </c>
      <c r="D777" t="s">
        <v>12</v>
      </c>
      <c r="E777" t="s">
        <v>18</v>
      </c>
      <c r="F777" t="s">
        <v>22</v>
      </c>
      <c r="G777" s="1">
        <v>9794</v>
      </c>
      <c r="H777">
        <v>1</v>
      </c>
      <c r="I777" s="1">
        <f>supermarket_sales_new[[#This Row],[Unit price]]*supermarket_sales_new[[#This Row],[Quantity]]*5%</f>
        <v>489.70000000000005</v>
      </c>
      <c r="J777" s="1">
        <f>(supermarket_sales_new[[#This Row],[Unit price]]*supermarket_sales_new[[#This Row],[Quantity]])+supermarket_sales_new[[#This Row],[Tax 5%]]</f>
        <v>10283.700000000001</v>
      </c>
    </row>
    <row r="778" spans="1:10" x14ac:dyDescent="0.35">
      <c r="A778" t="s">
        <v>525</v>
      </c>
      <c r="B778" t="s">
        <v>801</v>
      </c>
      <c r="C778" t="s">
        <v>11</v>
      </c>
      <c r="D778" t="s">
        <v>12</v>
      </c>
      <c r="E778" t="s">
        <v>18</v>
      </c>
      <c r="F778" t="s">
        <v>22</v>
      </c>
      <c r="G778" s="1">
        <v>3068</v>
      </c>
      <c r="H778">
        <v>3</v>
      </c>
      <c r="I778" s="1">
        <f>supermarket_sales_new[[#This Row],[Unit price]]*supermarket_sales_new[[#This Row],[Quantity]]*5%</f>
        <v>460.20000000000005</v>
      </c>
      <c r="J778" s="1">
        <f>(supermarket_sales_new[[#This Row],[Unit price]]*supermarket_sales_new[[#This Row],[Quantity]])+supermarket_sales_new[[#This Row],[Tax 5%]]</f>
        <v>9664.2000000000007</v>
      </c>
    </row>
    <row r="779" spans="1:10" x14ac:dyDescent="0.35">
      <c r="A779" t="s">
        <v>525</v>
      </c>
      <c r="B779" t="s">
        <v>802</v>
      </c>
      <c r="C779" t="s">
        <v>16</v>
      </c>
      <c r="D779" t="s">
        <v>17</v>
      </c>
      <c r="E779" t="s">
        <v>13</v>
      </c>
      <c r="F779" t="s">
        <v>14</v>
      </c>
      <c r="G779" s="1">
        <v>7588</v>
      </c>
      <c r="H779">
        <v>1</v>
      </c>
      <c r="I779" s="1">
        <f>supermarket_sales_new[[#This Row],[Unit price]]*supermarket_sales_new[[#This Row],[Quantity]]*5%</f>
        <v>379.40000000000003</v>
      </c>
      <c r="J779" s="1">
        <f>(supermarket_sales_new[[#This Row],[Unit price]]*supermarket_sales_new[[#This Row],[Quantity]])+supermarket_sales_new[[#This Row],[Tax 5%]]</f>
        <v>7967.4</v>
      </c>
    </row>
    <row r="780" spans="1:10" x14ac:dyDescent="0.35">
      <c r="A780" t="s">
        <v>525</v>
      </c>
      <c r="B780" t="s">
        <v>803</v>
      </c>
      <c r="C780" t="s">
        <v>16</v>
      </c>
      <c r="D780" t="s">
        <v>17</v>
      </c>
      <c r="E780" t="s">
        <v>13</v>
      </c>
      <c r="F780" t="s">
        <v>19</v>
      </c>
      <c r="G780" s="1">
        <v>1877</v>
      </c>
      <c r="H780">
        <v>6</v>
      </c>
      <c r="I780" s="1">
        <f>supermarket_sales_new[[#This Row],[Unit price]]*supermarket_sales_new[[#This Row],[Quantity]]*5%</f>
        <v>563.1</v>
      </c>
      <c r="J780" s="1">
        <f>(supermarket_sales_new[[#This Row],[Unit price]]*supermarket_sales_new[[#This Row],[Quantity]])+supermarket_sales_new[[#This Row],[Tax 5%]]</f>
        <v>11825.1</v>
      </c>
    </row>
    <row r="781" spans="1:10" x14ac:dyDescent="0.35">
      <c r="A781" t="s">
        <v>525</v>
      </c>
      <c r="B781" t="s">
        <v>804</v>
      </c>
      <c r="C781" t="s">
        <v>25</v>
      </c>
      <c r="D781" t="s">
        <v>26</v>
      </c>
      <c r="E781" t="s">
        <v>13</v>
      </c>
      <c r="F781" t="s">
        <v>22</v>
      </c>
      <c r="G781" s="1">
        <v>3881</v>
      </c>
      <c r="H781">
        <v>4</v>
      </c>
      <c r="I781" s="1">
        <f>supermarket_sales_new[[#This Row],[Unit price]]*supermarket_sales_new[[#This Row],[Quantity]]*5%</f>
        <v>776.2</v>
      </c>
      <c r="J781" s="1">
        <f>(supermarket_sales_new[[#This Row],[Unit price]]*supermarket_sales_new[[#This Row],[Quantity]])+supermarket_sales_new[[#This Row],[Tax 5%]]</f>
        <v>16300.2</v>
      </c>
    </row>
    <row r="782" spans="1:10" x14ac:dyDescent="0.35">
      <c r="A782" t="s">
        <v>525</v>
      </c>
      <c r="B782" t="s">
        <v>805</v>
      </c>
      <c r="C782" t="s">
        <v>11</v>
      </c>
      <c r="D782" t="s">
        <v>12</v>
      </c>
      <c r="E782" t="s">
        <v>18</v>
      </c>
      <c r="F782" t="s">
        <v>33</v>
      </c>
      <c r="G782" s="1">
        <v>6095</v>
      </c>
      <c r="H782">
        <v>9</v>
      </c>
      <c r="I782" s="1">
        <f>supermarket_sales_new[[#This Row],[Unit price]]*supermarket_sales_new[[#This Row],[Quantity]]*5%</f>
        <v>2742.75</v>
      </c>
      <c r="J782" s="1">
        <f>(supermarket_sales_new[[#This Row],[Unit price]]*supermarket_sales_new[[#This Row],[Quantity]])+supermarket_sales_new[[#This Row],[Tax 5%]]</f>
        <v>57597.75</v>
      </c>
    </row>
    <row r="783" spans="1:10" x14ac:dyDescent="0.35">
      <c r="A783" t="s">
        <v>525</v>
      </c>
      <c r="B783" t="s">
        <v>806</v>
      </c>
      <c r="C783" t="s">
        <v>25</v>
      </c>
      <c r="D783" t="s">
        <v>26</v>
      </c>
      <c r="E783" t="s">
        <v>18</v>
      </c>
      <c r="F783" t="s">
        <v>29</v>
      </c>
      <c r="G783" s="1">
        <v>5727</v>
      </c>
      <c r="H783">
        <v>3</v>
      </c>
      <c r="I783" s="1">
        <f>supermarket_sales_new[[#This Row],[Unit price]]*supermarket_sales_new[[#This Row],[Quantity]]*5%</f>
        <v>859.05000000000007</v>
      </c>
      <c r="J783" s="1">
        <f>(supermarket_sales_new[[#This Row],[Unit price]]*supermarket_sales_new[[#This Row],[Quantity]])+supermarket_sales_new[[#This Row],[Tax 5%]]</f>
        <v>18040.05</v>
      </c>
    </row>
    <row r="784" spans="1:10" x14ac:dyDescent="0.35">
      <c r="A784" t="s">
        <v>525</v>
      </c>
      <c r="B784" t="s">
        <v>807</v>
      </c>
      <c r="C784" t="s">
        <v>16</v>
      </c>
      <c r="D784" t="s">
        <v>17</v>
      </c>
      <c r="E784" t="s">
        <v>18</v>
      </c>
      <c r="F784" t="s">
        <v>19</v>
      </c>
      <c r="G784" s="1">
        <v>2221</v>
      </c>
      <c r="H784">
        <v>6</v>
      </c>
      <c r="I784" s="1">
        <f>supermarket_sales_new[[#This Row],[Unit price]]*supermarket_sales_new[[#This Row],[Quantity]]*5%</f>
        <v>666.30000000000007</v>
      </c>
      <c r="J784" s="1">
        <f>(supermarket_sales_new[[#This Row],[Unit price]]*supermarket_sales_new[[#This Row],[Quantity]])+supermarket_sales_new[[#This Row],[Tax 5%]]</f>
        <v>13992.3</v>
      </c>
    </row>
    <row r="785" spans="1:10" x14ac:dyDescent="0.35">
      <c r="A785" t="s">
        <v>525</v>
      </c>
      <c r="B785" t="s">
        <v>808</v>
      </c>
      <c r="C785" t="s">
        <v>11</v>
      </c>
      <c r="D785" t="s">
        <v>12</v>
      </c>
      <c r="E785" t="s">
        <v>13</v>
      </c>
      <c r="F785" t="s">
        <v>19</v>
      </c>
      <c r="G785" s="1">
        <v>1932</v>
      </c>
      <c r="H785">
        <v>7</v>
      </c>
      <c r="I785" s="1">
        <f>supermarket_sales_new[[#This Row],[Unit price]]*supermarket_sales_new[[#This Row],[Quantity]]*5%</f>
        <v>676.2</v>
      </c>
      <c r="J785" s="1">
        <f>(supermarket_sales_new[[#This Row],[Unit price]]*supermarket_sales_new[[#This Row],[Quantity]])+supermarket_sales_new[[#This Row],[Tax 5%]]</f>
        <v>14200.2</v>
      </c>
    </row>
    <row r="786" spans="1:10" x14ac:dyDescent="0.35">
      <c r="A786" t="s">
        <v>525</v>
      </c>
      <c r="B786" t="s">
        <v>809</v>
      </c>
      <c r="C786" t="s">
        <v>25</v>
      </c>
      <c r="D786" t="s">
        <v>26</v>
      </c>
      <c r="E786" t="s">
        <v>18</v>
      </c>
      <c r="F786" t="s">
        <v>22</v>
      </c>
      <c r="G786" s="1">
        <v>3748</v>
      </c>
      <c r="H786">
        <v>3</v>
      </c>
      <c r="I786" s="1">
        <f>supermarket_sales_new[[#This Row],[Unit price]]*supermarket_sales_new[[#This Row],[Quantity]]*5%</f>
        <v>562.20000000000005</v>
      </c>
      <c r="J786" s="1">
        <f>(supermarket_sales_new[[#This Row],[Unit price]]*supermarket_sales_new[[#This Row],[Quantity]])+supermarket_sales_new[[#This Row],[Tax 5%]]</f>
        <v>11806.2</v>
      </c>
    </row>
    <row r="787" spans="1:10" x14ac:dyDescent="0.35">
      <c r="A787" t="s">
        <v>525</v>
      </c>
      <c r="B787" t="s">
        <v>810</v>
      </c>
      <c r="C787" t="s">
        <v>11</v>
      </c>
      <c r="D787" t="s">
        <v>12</v>
      </c>
      <c r="E787" t="s">
        <v>13</v>
      </c>
      <c r="F787" t="s">
        <v>27</v>
      </c>
      <c r="G787" s="1">
        <v>4166</v>
      </c>
      <c r="H787">
        <v>6</v>
      </c>
      <c r="I787" s="1">
        <f>supermarket_sales_new[[#This Row],[Unit price]]*supermarket_sales_new[[#This Row],[Quantity]]*5%</f>
        <v>1249.8000000000002</v>
      </c>
      <c r="J787" s="1">
        <f>(supermarket_sales_new[[#This Row],[Unit price]]*supermarket_sales_new[[#This Row],[Quantity]])+supermarket_sales_new[[#This Row],[Tax 5%]]</f>
        <v>26245.8</v>
      </c>
    </row>
    <row r="788" spans="1:10" x14ac:dyDescent="0.35">
      <c r="A788" t="s">
        <v>525</v>
      </c>
      <c r="B788" t="s">
        <v>811</v>
      </c>
      <c r="C788" t="s">
        <v>25</v>
      </c>
      <c r="D788" t="s">
        <v>26</v>
      </c>
      <c r="E788" t="s">
        <v>18</v>
      </c>
      <c r="F788" t="s">
        <v>19</v>
      </c>
      <c r="G788" s="1">
        <v>2158</v>
      </c>
      <c r="H788">
        <v>9</v>
      </c>
      <c r="I788" s="1">
        <f>supermarket_sales_new[[#This Row],[Unit price]]*supermarket_sales_new[[#This Row],[Quantity]]*5%</f>
        <v>971.1</v>
      </c>
      <c r="J788" s="1">
        <f>(supermarket_sales_new[[#This Row],[Unit price]]*supermarket_sales_new[[#This Row],[Quantity]])+supermarket_sales_new[[#This Row],[Tax 5%]]</f>
        <v>20393.099999999999</v>
      </c>
    </row>
    <row r="789" spans="1:10" x14ac:dyDescent="0.35">
      <c r="A789" t="s">
        <v>525</v>
      </c>
      <c r="B789" t="s">
        <v>812</v>
      </c>
      <c r="C789" t="s">
        <v>16</v>
      </c>
      <c r="D789" t="s">
        <v>17</v>
      </c>
      <c r="E789" t="s">
        <v>18</v>
      </c>
      <c r="F789" t="s">
        <v>27</v>
      </c>
      <c r="G789" s="1">
        <v>892</v>
      </c>
      <c r="H789">
        <v>10</v>
      </c>
      <c r="I789" s="1">
        <f>supermarket_sales_new[[#This Row],[Unit price]]*supermarket_sales_new[[#This Row],[Quantity]]*5%</f>
        <v>446</v>
      </c>
      <c r="J789" s="1">
        <f>(supermarket_sales_new[[#This Row],[Unit price]]*supermarket_sales_new[[#This Row],[Quantity]])+supermarket_sales_new[[#This Row],[Tax 5%]]</f>
        <v>9366</v>
      </c>
    </row>
    <row r="790" spans="1:10" x14ac:dyDescent="0.35">
      <c r="A790" t="s">
        <v>525</v>
      </c>
      <c r="B790" t="s">
        <v>813</v>
      </c>
      <c r="C790" t="s">
        <v>11</v>
      </c>
      <c r="D790" t="s">
        <v>12</v>
      </c>
      <c r="E790" t="s">
        <v>13</v>
      </c>
      <c r="F790" t="s">
        <v>19</v>
      </c>
      <c r="G790" s="1">
        <v>7451</v>
      </c>
      <c r="H790">
        <v>6</v>
      </c>
      <c r="I790" s="1">
        <f>supermarket_sales_new[[#This Row],[Unit price]]*supermarket_sales_new[[#This Row],[Quantity]]*5%</f>
        <v>2235.3000000000002</v>
      </c>
      <c r="J790" s="1">
        <f>(supermarket_sales_new[[#This Row],[Unit price]]*supermarket_sales_new[[#This Row],[Quantity]])+supermarket_sales_new[[#This Row],[Tax 5%]]</f>
        <v>46941.3</v>
      </c>
    </row>
    <row r="791" spans="1:10" x14ac:dyDescent="0.35">
      <c r="A791" t="s">
        <v>525</v>
      </c>
      <c r="B791" t="s">
        <v>814</v>
      </c>
      <c r="C791" t="s">
        <v>25</v>
      </c>
      <c r="D791" t="s">
        <v>26</v>
      </c>
      <c r="E791" t="s">
        <v>18</v>
      </c>
      <c r="F791" t="s">
        <v>29</v>
      </c>
      <c r="G791" s="1">
        <v>9925</v>
      </c>
      <c r="H791">
        <v>2</v>
      </c>
      <c r="I791" s="1">
        <f>supermarket_sales_new[[#This Row],[Unit price]]*supermarket_sales_new[[#This Row],[Quantity]]*5%</f>
        <v>992.5</v>
      </c>
      <c r="J791" s="1">
        <f>(supermarket_sales_new[[#This Row],[Unit price]]*supermarket_sales_new[[#This Row],[Quantity]])+supermarket_sales_new[[#This Row],[Tax 5%]]</f>
        <v>20842.5</v>
      </c>
    </row>
    <row r="792" spans="1:10" x14ac:dyDescent="0.35">
      <c r="A792" t="s">
        <v>525</v>
      </c>
      <c r="B792" t="s">
        <v>815</v>
      </c>
      <c r="C792" t="s">
        <v>25</v>
      </c>
      <c r="D792" t="s">
        <v>26</v>
      </c>
      <c r="E792" t="s">
        <v>13</v>
      </c>
      <c r="F792" t="s">
        <v>33</v>
      </c>
      <c r="G792" s="1">
        <v>2667</v>
      </c>
      <c r="H792">
        <v>10</v>
      </c>
      <c r="I792" s="1">
        <f>supermarket_sales_new[[#This Row],[Unit price]]*supermarket_sales_new[[#This Row],[Quantity]]*5%</f>
        <v>1333.5</v>
      </c>
      <c r="J792" s="1">
        <f>(supermarket_sales_new[[#This Row],[Unit price]]*supermarket_sales_new[[#This Row],[Quantity]])+supermarket_sales_new[[#This Row],[Tax 5%]]</f>
        <v>28003.5</v>
      </c>
    </row>
    <row r="793" spans="1:10" x14ac:dyDescent="0.35">
      <c r="A793" t="s">
        <v>525</v>
      </c>
      <c r="B793" t="s">
        <v>816</v>
      </c>
      <c r="C793" t="s">
        <v>11</v>
      </c>
      <c r="D793" t="s">
        <v>12</v>
      </c>
      <c r="E793" t="s">
        <v>13</v>
      </c>
      <c r="F793" t="s">
        <v>27</v>
      </c>
      <c r="G793" s="1">
        <v>1013</v>
      </c>
      <c r="H793">
        <v>7</v>
      </c>
      <c r="I793" s="1">
        <f>supermarket_sales_new[[#This Row],[Unit price]]*supermarket_sales_new[[#This Row],[Quantity]]*5%</f>
        <v>354.55</v>
      </c>
      <c r="J793" s="1">
        <f>(supermarket_sales_new[[#This Row],[Unit price]]*supermarket_sales_new[[#This Row],[Quantity]])+supermarket_sales_new[[#This Row],[Tax 5%]]</f>
        <v>7445.55</v>
      </c>
    </row>
    <row r="794" spans="1:10" x14ac:dyDescent="0.35">
      <c r="A794" t="s">
        <v>525</v>
      </c>
      <c r="B794" t="s">
        <v>817</v>
      </c>
      <c r="C794" t="s">
        <v>25</v>
      </c>
      <c r="D794" t="s">
        <v>26</v>
      </c>
      <c r="E794" t="s">
        <v>18</v>
      </c>
      <c r="F794" t="s">
        <v>27</v>
      </c>
      <c r="G794" s="1">
        <v>7239</v>
      </c>
      <c r="H794">
        <v>2</v>
      </c>
      <c r="I794" s="1">
        <f>supermarket_sales_new[[#This Row],[Unit price]]*supermarket_sales_new[[#This Row],[Quantity]]*5%</f>
        <v>723.90000000000009</v>
      </c>
      <c r="J794" s="1">
        <f>(supermarket_sales_new[[#This Row],[Unit price]]*supermarket_sales_new[[#This Row],[Quantity]])+supermarket_sales_new[[#This Row],[Tax 5%]]</f>
        <v>15201.9</v>
      </c>
    </row>
    <row r="795" spans="1:10" x14ac:dyDescent="0.35">
      <c r="A795" t="s">
        <v>525</v>
      </c>
      <c r="B795" t="s">
        <v>818</v>
      </c>
      <c r="C795" t="s">
        <v>11</v>
      </c>
      <c r="D795" t="s">
        <v>12</v>
      </c>
      <c r="E795" t="s">
        <v>18</v>
      </c>
      <c r="F795" t="s">
        <v>33</v>
      </c>
      <c r="G795" s="1">
        <v>8591</v>
      </c>
      <c r="H795">
        <v>5</v>
      </c>
      <c r="I795" s="1">
        <f>supermarket_sales_new[[#This Row],[Unit price]]*supermarket_sales_new[[#This Row],[Quantity]]*5%</f>
        <v>2147.75</v>
      </c>
      <c r="J795" s="1">
        <f>(supermarket_sales_new[[#This Row],[Unit price]]*supermarket_sales_new[[#This Row],[Quantity]])+supermarket_sales_new[[#This Row],[Tax 5%]]</f>
        <v>45102.75</v>
      </c>
    </row>
    <row r="796" spans="1:10" x14ac:dyDescent="0.35">
      <c r="A796" t="s">
        <v>525</v>
      </c>
      <c r="B796" t="s">
        <v>819</v>
      </c>
      <c r="C796" t="s">
        <v>25</v>
      </c>
      <c r="D796" t="s">
        <v>26</v>
      </c>
      <c r="E796" t="s">
        <v>13</v>
      </c>
      <c r="F796" t="s">
        <v>29</v>
      </c>
      <c r="G796" s="1">
        <v>8131</v>
      </c>
      <c r="H796">
        <v>7</v>
      </c>
      <c r="I796" s="1">
        <f>supermarket_sales_new[[#This Row],[Unit price]]*supermarket_sales_new[[#This Row],[Quantity]]*5%</f>
        <v>2845.8500000000004</v>
      </c>
      <c r="J796" s="1">
        <f>(supermarket_sales_new[[#This Row],[Unit price]]*supermarket_sales_new[[#This Row],[Quantity]])+supermarket_sales_new[[#This Row],[Tax 5%]]</f>
        <v>59762.85</v>
      </c>
    </row>
    <row r="797" spans="1:10" x14ac:dyDescent="0.35">
      <c r="A797" t="s">
        <v>525</v>
      </c>
      <c r="B797" t="s">
        <v>820</v>
      </c>
      <c r="C797" t="s">
        <v>25</v>
      </c>
      <c r="D797" t="s">
        <v>26</v>
      </c>
      <c r="E797" t="s">
        <v>18</v>
      </c>
      <c r="F797" t="s">
        <v>27</v>
      </c>
      <c r="G797" s="1">
        <v>603</v>
      </c>
      <c r="H797">
        <v>4</v>
      </c>
      <c r="I797" s="1">
        <f>supermarket_sales_new[[#This Row],[Unit price]]*supermarket_sales_new[[#This Row],[Quantity]]*5%</f>
        <v>120.60000000000001</v>
      </c>
      <c r="J797" s="1">
        <f>(supermarket_sales_new[[#This Row],[Unit price]]*supermarket_sales_new[[#This Row],[Quantity]])+supermarket_sales_new[[#This Row],[Tax 5%]]</f>
        <v>2532.6</v>
      </c>
    </row>
    <row r="798" spans="1:10" x14ac:dyDescent="0.35">
      <c r="A798" t="s">
        <v>525</v>
      </c>
      <c r="B798" t="s">
        <v>821</v>
      </c>
      <c r="C798" t="s">
        <v>16</v>
      </c>
      <c r="D798" t="s">
        <v>17</v>
      </c>
      <c r="E798" t="s">
        <v>18</v>
      </c>
      <c r="F798" t="s">
        <v>27</v>
      </c>
      <c r="G798" s="1">
        <v>3177</v>
      </c>
      <c r="H798">
        <v>4</v>
      </c>
      <c r="I798" s="1">
        <f>supermarket_sales_new[[#This Row],[Unit price]]*supermarket_sales_new[[#This Row],[Quantity]]*5%</f>
        <v>635.40000000000009</v>
      </c>
      <c r="J798" s="1">
        <f>(supermarket_sales_new[[#This Row],[Unit price]]*supermarket_sales_new[[#This Row],[Quantity]])+supermarket_sales_new[[#This Row],[Tax 5%]]</f>
        <v>13343.4</v>
      </c>
    </row>
    <row r="799" spans="1:10" x14ac:dyDescent="0.35">
      <c r="A799" t="s">
        <v>525</v>
      </c>
      <c r="B799" t="s">
        <v>822</v>
      </c>
      <c r="C799" t="s">
        <v>25</v>
      </c>
      <c r="D799" t="s">
        <v>26</v>
      </c>
      <c r="E799" t="s">
        <v>18</v>
      </c>
      <c r="F799" t="s">
        <v>14</v>
      </c>
      <c r="G799" s="1">
        <v>6951</v>
      </c>
      <c r="H799">
        <v>2</v>
      </c>
      <c r="I799" s="1">
        <f>supermarket_sales_new[[#This Row],[Unit price]]*supermarket_sales_new[[#This Row],[Quantity]]*5%</f>
        <v>695.1</v>
      </c>
      <c r="J799" s="1">
        <f>(supermarket_sales_new[[#This Row],[Unit price]]*supermarket_sales_new[[#This Row],[Quantity]])+supermarket_sales_new[[#This Row],[Tax 5%]]</f>
        <v>14597.1</v>
      </c>
    </row>
    <row r="800" spans="1:10" x14ac:dyDescent="0.35">
      <c r="A800" t="s">
        <v>525</v>
      </c>
      <c r="B800" t="s">
        <v>823</v>
      </c>
      <c r="C800" t="s">
        <v>16</v>
      </c>
      <c r="D800" t="s">
        <v>17</v>
      </c>
      <c r="E800" t="s">
        <v>18</v>
      </c>
      <c r="F800" t="s">
        <v>27</v>
      </c>
      <c r="G800" s="1">
        <v>2722</v>
      </c>
      <c r="H800">
        <v>3</v>
      </c>
      <c r="I800" s="1">
        <f>supermarket_sales_new[[#This Row],[Unit price]]*supermarket_sales_new[[#This Row],[Quantity]]*5%</f>
        <v>408.3</v>
      </c>
      <c r="J800" s="1">
        <f>(supermarket_sales_new[[#This Row],[Unit price]]*supermarket_sales_new[[#This Row],[Quantity]])+supermarket_sales_new[[#This Row],[Tax 5%]]</f>
        <v>8574.2999999999993</v>
      </c>
    </row>
    <row r="801" spans="1:10" x14ac:dyDescent="0.35">
      <c r="A801" t="s">
        <v>525</v>
      </c>
      <c r="B801" t="s">
        <v>824</v>
      </c>
      <c r="C801" t="s">
        <v>25</v>
      </c>
      <c r="D801" t="s">
        <v>26</v>
      </c>
      <c r="E801" t="s">
        <v>18</v>
      </c>
      <c r="F801" t="s">
        <v>33</v>
      </c>
      <c r="G801" s="1">
        <v>6306</v>
      </c>
      <c r="H801">
        <v>3</v>
      </c>
      <c r="I801" s="1">
        <f>supermarket_sales_new[[#This Row],[Unit price]]*supermarket_sales_new[[#This Row],[Quantity]]*5%</f>
        <v>945.90000000000009</v>
      </c>
      <c r="J801" s="1">
        <f>(supermarket_sales_new[[#This Row],[Unit price]]*supermarket_sales_new[[#This Row],[Quantity]])+supermarket_sales_new[[#This Row],[Tax 5%]]</f>
        <v>19863.900000000001</v>
      </c>
    </row>
    <row r="802" spans="1:10" x14ac:dyDescent="0.35">
      <c r="A802" t="s">
        <v>525</v>
      </c>
      <c r="B802" t="s">
        <v>825</v>
      </c>
      <c r="C802" t="s">
        <v>11</v>
      </c>
      <c r="D802" t="s">
        <v>12</v>
      </c>
      <c r="E802" t="s">
        <v>18</v>
      </c>
      <c r="F802" t="s">
        <v>14</v>
      </c>
      <c r="G802" s="1">
        <v>5171</v>
      </c>
      <c r="H802">
        <v>4</v>
      </c>
      <c r="I802" s="1">
        <f>supermarket_sales_new[[#This Row],[Unit price]]*supermarket_sales_new[[#This Row],[Quantity]]*5%</f>
        <v>1034.2</v>
      </c>
      <c r="J802" s="1">
        <f>(supermarket_sales_new[[#This Row],[Unit price]]*supermarket_sales_new[[#This Row],[Quantity]])+supermarket_sales_new[[#This Row],[Tax 5%]]</f>
        <v>21718.2</v>
      </c>
    </row>
    <row r="803" spans="1:10" x14ac:dyDescent="0.35">
      <c r="A803" t="s">
        <v>525</v>
      </c>
      <c r="B803" t="s">
        <v>826</v>
      </c>
      <c r="C803" t="s">
        <v>16</v>
      </c>
      <c r="D803" t="s">
        <v>17</v>
      </c>
      <c r="E803" t="s">
        <v>18</v>
      </c>
      <c r="F803" t="s">
        <v>29</v>
      </c>
      <c r="G803" s="1">
        <v>5961</v>
      </c>
      <c r="H803">
        <v>10</v>
      </c>
      <c r="I803" s="1">
        <f>supermarket_sales_new[[#This Row],[Unit price]]*supermarket_sales_new[[#This Row],[Quantity]]*5%</f>
        <v>2980.5</v>
      </c>
      <c r="J803" s="1">
        <f>(supermarket_sales_new[[#This Row],[Unit price]]*supermarket_sales_new[[#This Row],[Quantity]])+supermarket_sales_new[[#This Row],[Tax 5%]]</f>
        <v>62590.5</v>
      </c>
    </row>
    <row r="804" spans="1:10" x14ac:dyDescent="0.35">
      <c r="A804" t="s">
        <v>525</v>
      </c>
      <c r="B804" t="s">
        <v>827</v>
      </c>
      <c r="C804" t="s">
        <v>11</v>
      </c>
      <c r="D804" t="s">
        <v>12</v>
      </c>
      <c r="E804" t="s">
        <v>18</v>
      </c>
      <c r="F804" t="s">
        <v>14</v>
      </c>
      <c r="G804" s="1">
        <v>1462</v>
      </c>
      <c r="H804">
        <v>5</v>
      </c>
      <c r="I804" s="1">
        <f>supermarket_sales_new[[#This Row],[Unit price]]*supermarket_sales_new[[#This Row],[Quantity]]*5%</f>
        <v>365.5</v>
      </c>
      <c r="J804" s="1">
        <f>(supermarket_sales_new[[#This Row],[Unit price]]*supermarket_sales_new[[#This Row],[Quantity]])+supermarket_sales_new[[#This Row],[Tax 5%]]</f>
        <v>7675.5</v>
      </c>
    </row>
    <row r="805" spans="1:10" x14ac:dyDescent="0.35">
      <c r="A805" t="s">
        <v>525</v>
      </c>
      <c r="B805" t="s">
        <v>828</v>
      </c>
      <c r="C805" t="s">
        <v>16</v>
      </c>
      <c r="D805" t="s">
        <v>17</v>
      </c>
      <c r="E805" t="s">
        <v>13</v>
      </c>
      <c r="F805" t="s">
        <v>14</v>
      </c>
      <c r="G805" s="1">
        <v>4653</v>
      </c>
      <c r="H805">
        <v>6</v>
      </c>
      <c r="I805" s="1">
        <f>supermarket_sales_new[[#This Row],[Unit price]]*supermarket_sales_new[[#This Row],[Quantity]]*5%</f>
        <v>1395.9</v>
      </c>
      <c r="J805" s="1">
        <f>(supermarket_sales_new[[#This Row],[Unit price]]*supermarket_sales_new[[#This Row],[Quantity]])+supermarket_sales_new[[#This Row],[Tax 5%]]</f>
        <v>29313.9</v>
      </c>
    </row>
    <row r="806" spans="1:10" x14ac:dyDescent="0.35">
      <c r="A806" t="s">
        <v>525</v>
      </c>
      <c r="B806" t="s">
        <v>829</v>
      </c>
      <c r="C806" t="s">
        <v>25</v>
      </c>
      <c r="D806" t="s">
        <v>26</v>
      </c>
      <c r="E806" t="s">
        <v>13</v>
      </c>
      <c r="F806" t="s">
        <v>33</v>
      </c>
      <c r="G806" s="1">
        <v>968</v>
      </c>
      <c r="H806">
        <v>3</v>
      </c>
      <c r="I806" s="1">
        <f>supermarket_sales_new[[#This Row],[Unit price]]*supermarket_sales_new[[#This Row],[Quantity]]*5%</f>
        <v>145.20000000000002</v>
      </c>
      <c r="J806" s="1">
        <f>(supermarket_sales_new[[#This Row],[Unit price]]*supermarket_sales_new[[#This Row],[Quantity]])+supermarket_sales_new[[#This Row],[Tax 5%]]</f>
        <v>3049.2</v>
      </c>
    </row>
    <row r="807" spans="1:10" x14ac:dyDescent="0.35">
      <c r="A807" t="s">
        <v>525</v>
      </c>
      <c r="B807" t="s">
        <v>830</v>
      </c>
      <c r="C807" t="s">
        <v>25</v>
      </c>
      <c r="D807" t="s">
        <v>26</v>
      </c>
      <c r="E807" t="s">
        <v>18</v>
      </c>
      <c r="F807" t="s">
        <v>14</v>
      </c>
      <c r="G807" s="1">
        <v>1482</v>
      </c>
      <c r="H807">
        <v>3</v>
      </c>
      <c r="I807" s="1">
        <f>supermarket_sales_new[[#This Row],[Unit price]]*supermarket_sales_new[[#This Row],[Quantity]]*5%</f>
        <v>222.3</v>
      </c>
      <c r="J807" s="1">
        <f>(supermarket_sales_new[[#This Row],[Unit price]]*supermarket_sales_new[[#This Row],[Quantity]])+supermarket_sales_new[[#This Row],[Tax 5%]]</f>
        <v>4668.3</v>
      </c>
    </row>
    <row r="808" spans="1:10" x14ac:dyDescent="0.35">
      <c r="A808" t="s">
        <v>525</v>
      </c>
      <c r="B808" t="s">
        <v>831</v>
      </c>
      <c r="C808" t="s">
        <v>11</v>
      </c>
      <c r="D808" t="s">
        <v>12</v>
      </c>
      <c r="E808" t="s">
        <v>18</v>
      </c>
      <c r="F808" t="s">
        <v>27</v>
      </c>
      <c r="G808" s="1">
        <v>522</v>
      </c>
      <c r="H808">
        <v>3</v>
      </c>
      <c r="I808" s="1">
        <f>supermarket_sales_new[[#This Row],[Unit price]]*supermarket_sales_new[[#This Row],[Quantity]]*5%</f>
        <v>78.300000000000011</v>
      </c>
      <c r="J808" s="1">
        <f>(supermarket_sales_new[[#This Row],[Unit price]]*supermarket_sales_new[[#This Row],[Quantity]])+supermarket_sales_new[[#This Row],[Tax 5%]]</f>
        <v>1644.3</v>
      </c>
    </row>
    <row r="809" spans="1:10" x14ac:dyDescent="0.35">
      <c r="A809" t="s">
        <v>525</v>
      </c>
      <c r="B809" t="s">
        <v>832</v>
      </c>
      <c r="C809" t="s">
        <v>16</v>
      </c>
      <c r="D809" t="s">
        <v>17</v>
      </c>
      <c r="E809" t="s">
        <v>18</v>
      </c>
      <c r="F809" t="s">
        <v>19</v>
      </c>
      <c r="G809" s="1">
        <v>8308</v>
      </c>
      <c r="H809">
        <v>1</v>
      </c>
      <c r="I809" s="1">
        <f>supermarket_sales_new[[#This Row],[Unit price]]*supermarket_sales_new[[#This Row],[Quantity]]*5%</f>
        <v>415.40000000000003</v>
      </c>
      <c r="J809" s="1">
        <f>(supermarket_sales_new[[#This Row],[Unit price]]*supermarket_sales_new[[#This Row],[Quantity]])+supermarket_sales_new[[#This Row],[Tax 5%]]</f>
        <v>8723.4</v>
      </c>
    </row>
    <row r="810" spans="1:10" x14ac:dyDescent="0.35">
      <c r="A810" t="s">
        <v>525</v>
      </c>
      <c r="B810" t="s">
        <v>833</v>
      </c>
      <c r="C810" t="s">
        <v>16</v>
      </c>
      <c r="D810" t="s">
        <v>17</v>
      </c>
      <c r="E810" t="s">
        <v>18</v>
      </c>
      <c r="F810" t="s">
        <v>27</v>
      </c>
      <c r="G810" s="1">
        <v>7756</v>
      </c>
      <c r="H810">
        <v>10</v>
      </c>
      <c r="I810" s="1">
        <f>supermarket_sales_new[[#This Row],[Unit price]]*supermarket_sales_new[[#This Row],[Quantity]]*5%</f>
        <v>3878</v>
      </c>
      <c r="J810" s="1">
        <f>(supermarket_sales_new[[#This Row],[Unit price]]*supermarket_sales_new[[#This Row],[Quantity]])+supermarket_sales_new[[#This Row],[Tax 5%]]</f>
        <v>81438</v>
      </c>
    </row>
    <row r="811" spans="1:10" x14ac:dyDescent="0.35">
      <c r="A811" t="s">
        <v>525</v>
      </c>
      <c r="B811" t="s">
        <v>834</v>
      </c>
      <c r="C811" t="s">
        <v>25</v>
      </c>
      <c r="D811" t="s">
        <v>26</v>
      </c>
      <c r="E811" t="s">
        <v>18</v>
      </c>
      <c r="F811" t="s">
        <v>22</v>
      </c>
      <c r="G811" s="1">
        <v>3175</v>
      </c>
      <c r="H811">
        <v>4</v>
      </c>
      <c r="I811" s="1">
        <f>supermarket_sales_new[[#This Row],[Unit price]]*supermarket_sales_new[[#This Row],[Quantity]]*5%</f>
        <v>635</v>
      </c>
      <c r="J811" s="1">
        <f>(supermarket_sales_new[[#This Row],[Unit price]]*supermarket_sales_new[[#This Row],[Quantity]])+supermarket_sales_new[[#This Row],[Tax 5%]]</f>
        <v>13335</v>
      </c>
    </row>
    <row r="812" spans="1:10" x14ac:dyDescent="0.35">
      <c r="A812" t="s">
        <v>525</v>
      </c>
      <c r="B812" t="s">
        <v>835</v>
      </c>
      <c r="C812" t="s">
        <v>11</v>
      </c>
      <c r="D812" t="s">
        <v>12</v>
      </c>
      <c r="E812" t="s">
        <v>18</v>
      </c>
      <c r="F812" t="s">
        <v>29</v>
      </c>
      <c r="G812" s="1">
        <v>3061</v>
      </c>
      <c r="H812">
        <v>1</v>
      </c>
      <c r="I812" s="1">
        <f>supermarket_sales_new[[#This Row],[Unit price]]*supermarket_sales_new[[#This Row],[Quantity]]*5%</f>
        <v>153.05000000000001</v>
      </c>
      <c r="J812" s="1">
        <f>(supermarket_sales_new[[#This Row],[Unit price]]*supermarket_sales_new[[#This Row],[Quantity]])+supermarket_sales_new[[#This Row],[Tax 5%]]</f>
        <v>3214.05</v>
      </c>
    </row>
    <row r="813" spans="1:10" x14ac:dyDescent="0.35">
      <c r="A813" t="s">
        <v>525</v>
      </c>
      <c r="B813" t="s">
        <v>836</v>
      </c>
      <c r="C813" t="s">
        <v>25</v>
      </c>
      <c r="D813" t="s">
        <v>26</v>
      </c>
      <c r="E813" t="s">
        <v>13</v>
      </c>
      <c r="F813" t="s">
        <v>27</v>
      </c>
      <c r="G813" s="1">
        <v>5789</v>
      </c>
      <c r="H813">
        <v>2</v>
      </c>
      <c r="I813" s="1">
        <f>supermarket_sales_new[[#This Row],[Unit price]]*supermarket_sales_new[[#This Row],[Quantity]]*5%</f>
        <v>578.9</v>
      </c>
      <c r="J813" s="1">
        <f>(supermarket_sales_new[[#This Row],[Unit price]]*supermarket_sales_new[[#This Row],[Quantity]])+supermarket_sales_new[[#This Row],[Tax 5%]]</f>
        <v>12156.9</v>
      </c>
    </row>
    <row r="814" spans="1:10" x14ac:dyDescent="0.35">
      <c r="A814" t="s">
        <v>525</v>
      </c>
      <c r="B814" t="s">
        <v>837</v>
      </c>
      <c r="C814" t="s">
        <v>25</v>
      </c>
      <c r="D814" t="s">
        <v>26</v>
      </c>
      <c r="E814" t="s">
        <v>13</v>
      </c>
      <c r="F814" t="s">
        <v>29</v>
      </c>
      <c r="G814" s="1">
        <v>9322</v>
      </c>
      <c r="H814">
        <v>3</v>
      </c>
      <c r="I814" s="1">
        <f>supermarket_sales_new[[#This Row],[Unit price]]*supermarket_sales_new[[#This Row],[Quantity]]*5%</f>
        <v>1398.3000000000002</v>
      </c>
      <c r="J814" s="1">
        <f>(supermarket_sales_new[[#This Row],[Unit price]]*supermarket_sales_new[[#This Row],[Quantity]])+supermarket_sales_new[[#This Row],[Tax 5%]]</f>
        <v>29364.3</v>
      </c>
    </row>
    <row r="815" spans="1:10" x14ac:dyDescent="0.35">
      <c r="A815" t="s">
        <v>525</v>
      </c>
      <c r="B815" t="s">
        <v>838</v>
      </c>
      <c r="C815" t="s">
        <v>16</v>
      </c>
      <c r="D815" t="s">
        <v>17</v>
      </c>
      <c r="E815" t="s">
        <v>13</v>
      </c>
      <c r="F815" t="s">
        <v>33</v>
      </c>
      <c r="G815" s="1">
        <v>8093</v>
      </c>
      <c r="H815">
        <v>1</v>
      </c>
      <c r="I815" s="1">
        <f>supermarket_sales_new[[#This Row],[Unit price]]*supermarket_sales_new[[#This Row],[Quantity]]*5%</f>
        <v>404.65000000000003</v>
      </c>
      <c r="J815" s="1">
        <f>(supermarket_sales_new[[#This Row],[Unit price]]*supermarket_sales_new[[#This Row],[Quantity]])+supermarket_sales_new[[#This Row],[Tax 5%]]</f>
        <v>8497.65</v>
      </c>
    </row>
    <row r="816" spans="1:10" x14ac:dyDescent="0.35">
      <c r="A816" t="s">
        <v>525</v>
      </c>
      <c r="B816" t="s">
        <v>839</v>
      </c>
      <c r="C816" t="s">
        <v>11</v>
      </c>
      <c r="D816" t="s">
        <v>12</v>
      </c>
      <c r="E816" t="s">
        <v>13</v>
      </c>
      <c r="F816" t="s">
        <v>27</v>
      </c>
      <c r="G816" s="1">
        <v>6745</v>
      </c>
      <c r="H816">
        <v>10</v>
      </c>
      <c r="I816" s="1">
        <f>supermarket_sales_new[[#This Row],[Unit price]]*supermarket_sales_new[[#This Row],[Quantity]]*5%</f>
        <v>3372.5</v>
      </c>
      <c r="J816" s="1">
        <f>(supermarket_sales_new[[#This Row],[Unit price]]*supermarket_sales_new[[#This Row],[Quantity]])+supermarket_sales_new[[#This Row],[Tax 5%]]</f>
        <v>70822.5</v>
      </c>
    </row>
    <row r="817" spans="1:10" x14ac:dyDescent="0.35">
      <c r="A817" t="s">
        <v>525</v>
      </c>
      <c r="B817" t="s">
        <v>840</v>
      </c>
      <c r="C817" t="s">
        <v>25</v>
      </c>
      <c r="D817" t="s">
        <v>26</v>
      </c>
      <c r="E817" t="s">
        <v>13</v>
      </c>
      <c r="F817" t="s">
        <v>33</v>
      </c>
      <c r="G817" s="1">
        <v>726</v>
      </c>
      <c r="H817">
        <v>6</v>
      </c>
      <c r="I817" s="1">
        <f>supermarket_sales_new[[#This Row],[Unit price]]*supermarket_sales_new[[#This Row],[Quantity]]*5%</f>
        <v>217.8</v>
      </c>
      <c r="J817" s="1">
        <f>(supermarket_sales_new[[#This Row],[Unit price]]*supermarket_sales_new[[#This Row],[Quantity]])+supermarket_sales_new[[#This Row],[Tax 5%]]</f>
        <v>4573.8</v>
      </c>
    </row>
    <row r="818" spans="1:10" x14ac:dyDescent="0.35">
      <c r="A818" t="s">
        <v>525</v>
      </c>
      <c r="B818" t="s">
        <v>841</v>
      </c>
      <c r="C818" t="s">
        <v>16</v>
      </c>
      <c r="D818" t="s">
        <v>17</v>
      </c>
      <c r="E818" t="s">
        <v>13</v>
      </c>
      <c r="F818" t="s">
        <v>19</v>
      </c>
      <c r="G818" s="1">
        <v>8791</v>
      </c>
      <c r="H818">
        <v>5</v>
      </c>
      <c r="I818" s="1">
        <f>supermarket_sales_new[[#This Row],[Unit price]]*supermarket_sales_new[[#This Row],[Quantity]]*5%</f>
        <v>2197.75</v>
      </c>
      <c r="J818" s="1">
        <f>(supermarket_sales_new[[#This Row],[Unit price]]*supermarket_sales_new[[#This Row],[Quantity]])+supermarket_sales_new[[#This Row],[Tax 5%]]</f>
        <v>46152.75</v>
      </c>
    </row>
    <row r="819" spans="1:10" x14ac:dyDescent="0.35">
      <c r="A819" t="s">
        <v>525</v>
      </c>
      <c r="B819" t="s">
        <v>842</v>
      </c>
      <c r="C819" t="s">
        <v>11</v>
      </c>
      <c r="D819" t="s">
        <v>12</v>
      </c>
      <c r="E819" t="s">
        <v>13</v>
      </c>
      <c r="F819" t="s">
        <v>27</v>
      </c>
      <c r="G819" s="1">
        <v>9853</v>
      </c>
      <c r="H819">
        <v>6</v>
      </c>
      <c r="I819" s="1">
        <f>supermarket_sales_new[[#This Row],[Unit price]]*supermarket_sales_new[[#This Row],[Quantity]]*5%</f>
        <v>2955.9</v>
      </c>
      <c r="J819" s="1">
        <f>(supermarket_sales_new[[#This Row],[Unit price]]*supermarket_sales_new[[#This Row],[Quantity]])+supermarket_sales_new[[#This Row],[Tax 5%]]</f>
        <v>62073.9</v>
      </c>
    </row>
    <row r="820" spans="1:10" x14ac:dyDescent="0.35">
      <c r="A820" t="s">
        <v>525</v>
      </c>
      <c r="B820" t="s">
        <v>843</v>
      </c>
      <c r="C820" t="s">
        <v>25</v>
      </c>
      <c r="D820" t="s">
        <v>26</v>
      </c>
      <c r="E820" t="s">
        <v>13</v>
      </c>
      <c r="F820" t="s">
        <v>29</v>
      </c>
      <c r="G820" s="1">
        <v>9135</v>
      </c>
      <c r="H820">
        <v>1</v>
      </c>
      <c r="I820" s="1">
        <f>supermarket_sales_new[[#This Row],[Unit price]]*supermarket_sales_new[[#This Row],[Quantity]]*5%</f>
        <v>456.75</v>
      </c>
      <c r="J820" s="1">
        <f>(supermarket_sales_new[[#This Row],[Unit price]]*supermarket_sales_new[[#This Row],[Quantity]])+supermarket_sales_new[[#This Row],[Tax 5%]]</f>
        <v>9591.75</v>
      </c>
    </row>
    <row r="821" spans="1:10" x14ac:dyDescent="0.35">
      <c r="A821" t="s">
        <v>525</v>
      </c>
      <c r="B821" t="s">
        <v>844</v>
      </c>
      <c r="C821" t="s">
        <v>11</v>
      </c>
      <c r="D821" t="s">
        <v>12</v>
      </c>
      <c r="E821" t="s">
        <v>18</v>
      </c>
      <c r="F821" t="s">
        <v>33</v>
      </c>
      <c r="G821" s="1">
        <v>6087</v>
      </c>
      <c r="H821">
        <v>2</v>
      </c>
      <c r="I821" s="1">
        <f>supermarket_sales_new[[#This Row],[Unit price]]*supermarket_sales_new[[#This Row],[Quantity]]*5%</f>
        <v>608.70000000000005</v>
      </c>
      <c r="J821" s="1">
        <f>(supermarket_sales_new[[#This Row],[Unit price]]*supermarket_sales_new[[#This Row],[Quantity]])+supermarket_sales_new[[#This Row],[Tax 5%]]</f>
        <v>12782.7</v>
      </c>
    </row>
    <row r="822" spans="1:10" x14ac:dyDescent="0.35">
      <c r="A822" t="s">
        <v>525</v>
      </c>
      <c r="B822" t="s">
        <v>845</v>
      </c>
      <c r="C822" t="s">
        <v>25</v>
      </c>
      <c r="D822" t="s">
        <v>26</v>
      </c>
      <c r="E822" t="s">
        <v>13</v>
      </c>
      <c r="F822" t="s">
        <v>14</v>
      </c>
      <c r="G822" s="1">
        <v>8258</v>
      </c>
      <c r="H822">
        <v>10</v>
      </c>
      <c r="I822" s="1">
        <f>supermarket_sales_new[[#This Row],[Unit price]]*supermarket_sales_new[[#This Row],[Quantity]]*5%</f>
        <v>4129</v>
      </c>
      <c r="J822" s="1">
        <f>(supermarket_sales_new[[#This Row],[Unit price]]*supermarket_sales_new[[#This Row],[Quantity]])+supermarket_sales_new[[#This Row],[Tax 5%]]</f>
        <v>86709</v>
      </c>
    </row>
    <row r="823" spans="1:10" x14ac:dyDescent="0.35">
      <c r="A823" t="s">
        <v>525</v>
      </c>
      <c r="B823" t="s">
        <v>846</v>
      </c>
      <c r="C823" t="s">
        <v>11</v>
      </c>
      <c r="D823" t="s">
        <v>12</v>
      </c>
      <c r="E823" t="s">
        <v>13</v>
      </c>
      <c r="F823" t="s">
        <v>22</v>
      </c>
      <c r="G823" s="1">
        <v>533</v>
      </c>
      <c r="H823">
        <v>3</v>
      </c>
      <c r="I823" s="1">
        <f>supermarket_sales_new[[#This Row],[Unit price]]*supermarket_sales_new[[#This Row],[Quantity]]*5%</f>
        <v>79.95</v>
      </c>
      <c r="J823" s="1">
        <f>(supermarket_sales_new[[#This Row],[Unit price]]*supermarket_sales_new[[#This Row],[Quantity]])+supermarket_sales_new[[#This Row],[Tax 5%]]</f>
        <v>1678.95</v>
      </c>
    </row>
    <row r="824" spans="1:10" x14ac:dyDescent="0.35">
      <c r="A824" t="s">
        <v>525</v>
      </c>
      <c r="B824" t="s">
        <v>847</v>
      </c>
      <c r="C824" t="s">
        <v>11</v>
      </c>
      <c r="D824" t="s">
        <v>12</v>
      </c>
      <c r="E824" t="s">
        <v>18</v>
      </c>
      <c r="F824" t="s">
        <v>33</v>
      </c>
      <c r="G824" s="1">
        <v>6419</v>
      </c>
      <c r="H824">
        <v>10</v>
      </c>
      <c r="I824" s="1">
        <f>supermarket_sales_new[[#This Row],[Unit price]]*supermarket_sales_new[[#This Row],[Quantity]]*5%</f>
        <v>3209.5</v>
      </c>
      <c r="J824" s="1">
        <f>(supermarket_sales_new[[#This Row],[Unit price]]*supermarket_sales_new[[#This Row],[Quantity]])+supermarket_sales_new[[#This Row],[Tax 5%]]</f>
        <v>67399.5</v>
      </c>
    </row>
    <row r="825" spans="1:10" x14ac:dyDescent="0.35">
      <c r="A825" t="s">
        <v>525</v>
      </c>
      <c r="B825" t="s">
        <v>848</v>
      </c>
      <c r="C825" t="s">
        <v>11</v>
      </c>
      <c r="D825" t="s">
        <v>12</v>
      </c>
      <c r="E825" t="s">
        <v>18</v>
      </c>
      <c r="F825" t="s">
        <v>19</v>
      </c>
      <c r="G825" s="1">
        <v>7831</v>
      </c>
      <c r="H825">
        <v>3</v>
      </c>
      <c r="I825" s="1">
        <f>supermarket_sales_new[[#This Row],[Unit price]]*supermarket_sales_new[[#This Row],[Quantity]]*5%</f>
        <v>1174.6500000000001</v>
      </c>
      <c r="J825" s="1">
        <f>(supermarket_sales_new[[#This Row],[Unit price]]*supermarket_sales_new[[#This Row],[Quantity]])+supermarket_sales_new[[#This Row],[Tax 5%]]</f>
        <v>24667.65</v>
      </c>
    </row>
    <row r="826" spans="1:10" x14ac:dyDescent="0.35">
      <c r="A826" t="s">
        <v>525</v>
      </c>
      <c r="B826" t="s">
        <v>849</v>
      </c>
      <c r="C826" t="s">
        <v>11</v>
      </c>
      <c r="D826" t="s">
        <v>12</v>
      </c>
      <c r="E826" t="s">
        <v>13</v>
      </c>
      <c r="F826" t="s">
        <v>27</v>
      </c>
      <c r="G826" s="1">
        <v>8377</v>
      </c>
      <c r="H826">
        <v>2</v>
      </c>
      <c r="I826" s="1">
        <f>supermarket_sales_new[[#This Row],[Unit price]]*supermarket_sales_new[[#This Row],[Quantity]]*5%</f>
        <v>837.7</v>
      </c>
      <c r="J826" s="1">
        <f>(supermarket_sales_new[[#This Row],[Unit price]]*supermarket_sales_new[[#This Row],[Quantity]])+supermarket_sales_new[[#This Row],[Tax 5%]]</f>
        <v>17591.7</v>
      </c>
    </row>
    <row r="827" spans="1:10" x14ac:dyDescent="0.35">
      <c r="A827" t="s">
        <v>525</v>
      </c>
      <c r="B827" t="s">
        <v>850</v>
      </c>
      <c r="C827" t="s">
        <v>25</v>
      </c>
      <c r="D827" t="s">
        <v>26</v>
      </c>
      <c r="E827" t="s">
        <v>18</v>
      </c>
      <c r="F827" t="s">
        <v>22</v>
      </c>
      <c r="G827" s="1">
        <v>997</v>
      </c>
      <c r="H827">
        <v>3</v>
      </c>
      <c r="I827" s="1">
        <f>supermarket_sales_new[[#This Row],[Unit price]]*supermarket_sales_new[[#This Row],[Quantity]]*5%</f>
        <v>149.55000000000001</v>
      </c>
      <c r="J827" s="1">
        <f>(supermarket_sales_new[[#This Row],[Unit price]]*supermarket_sales_new[[#This Row],[Quantity]])+supermarket_sales_new[[#This Row],[Tax 5%]]</f>
        <v>3140.55</v>
      </c>
    </row>
    <row r="828" spans="1:10" x14ac:dyDescent="0.35">
      <c r="A828" t="s">
        <v>525</v>
      </c>
      <c r="B828" t="s">
        <v>851</v>
      </c>
      <c r="C828" t="s">
        <v>25</v>
      </c>
      <c r="D828" t="s">
        <v>26</v>
      </c>
      <c r="E828" t="s">
        <v>13</v>
      </c>
      <c r="F828" t="s">
        <v>27</v>
      </c>
      <c r="G828" s="1">
        <v>7991</v>
      </c>
      <c r="H828">
        <v>3</v>
      </c>
      <c r="I828" s="1">
        <f>supermarket_sales_new[[#This Row],[Unit price]]*supermarket_sales_new[[#This Row],[Quantity]]*5%</f>
        <v>1198.6500000000001</v>
      </c>
      <c r="J828" s="1">
        <f>(supermarket_sales_new[[#This Row],[Unit price]]*supermarket_sales_new[[#This Row],[Quantity]])+supermarket_sales_new[[#This Row],[Tax 5%]]</f>
        <v>25171.65</v>
      </c>
    </row>
    <row r="829" spans="1:10" x14ac:dyDescent="0.35">
      <c r="A829" t="s">
        <v>525</v>
      </c>
      <c r="B829" t="s">
        <v>852</v>
      </c>
      <c r="C829" t="s">
        <v>25</v>
      </c>
      <c r="D829" t="s">
        <v>26</v>
      </c>
      <c r="E829" t="s">
        <v>13</v>
      </c>
      <c r="F829" t="s">
        <v>14</v>
      </c>
      <c r="G829" s="1">
        <v>6647</v>
      </c>
      <c r="H829">
        <v>10</v>
      </c>
      <c r="I829" s="1">
        <f>supermarket_sales_new[[#This Row],[Unit price]]*supermarket_sales_new[[#This Row],[Quantity]]*5%</f>
        <v>3323.5</v>
      </c>
      <c r="J829" s="1">
        <f>(supermarket_sales_new[[#This Row],[Unit price]]*supermarket_sales_new[[#This Row],[Quantity]])+supermarket_sales_new[[#This Row],[Tax 5%]]</f>
        <v>69793.5</v>
      </c>
    </row>
    <row r="830" spans="1:10" x14ac:dyDescent="0.35">
      <c r="A830" t="s">
        <v>525</v>
      </c>
      <c r="B830" t="s">
        <v>853</v>
      </c>
      <c r="C830" t="s">
        <v>11</v>
      </c>
      <c r="D830" t="s">
        <v>12</v>
      </c>
      <c r="E830" t="s">
        <v>18</v>
      </c>
      <c r="F830" t="s">
        <v>14</v>
      </c>
      <c r="G830" s="1">
        <v>2895</v>
      </c>
      <c r="H830">
        <v>7</v>
      </c>
      <c r="I830" s="1">
        <f>supermarket_sales_new[[#This Row],[Unit price]]*supermarket_sales_new[[#This Row],[Quantity]]*5%</f>
        <v>1013.25</v>
      </c>
      <c r="J830" s="1">
        <f>(supermarket_sales_new[[#This Row],[Unit price]]*supermarket_sales_new[[#This Row],[Quantity]])+supermarket_sales_new[[#This Row],[Tax 5%]]</f>
        <v>21278.25</v>
      </c>
    </row>
    <row r="831" spans="1:10" x14ac:dyDescent="0.35">
      <c r="A831" t="s">
        <v>525</v>
      </c>
      <c r="B831" t="s">
        <v>854</v>
      </c>
      <c r="C831" t="s">
        <v>25</v>
      </c>
      <c r="D831" t="s">
        <v>26</v>
      </c>
      <c r="E831" t="s">
        <v>18</v>
      </c>
      <c r="F831" t="s">
        <v>29</v>
      </c>
      <c r="G831" s="1">
        <v>5242</v>
      </c>
      <c r="H831">
        <v>3</v>
      </c>
      <c r="I831" s="1">
        <f>supermarket_sales_new[[#This Row],[Unit price]]*supermarket_sales_new[[#This Row],[Quantity]]*5%</f>
        <v>786.30000000000007</v>
      </c>
      <c r="J831" s="1">
        <f>(supermarket_sales_new[[#This Row],[Unit price]]*supermarket_sales_new[[#This Row],[Quantity]])+supermarket_sales_new[[#This Row],[Tax 5%]]</f>
        <v>16512.3</v>
      </c>
    </row>
    <row r="832" spans="1:10" x14ac:dyDescent="0.35">
      <c r="A832" t="s">
        <v>525</v>
      </c>
      <c r="B832" t="s">
        <v>855</v>
      </c>
      <c r="C832" t="s">
        <v>25</v>
      </c>
      <c r="D832" t="s">
        <v>26</v>
      </c>
      <c r="E832" t="s">
        <v>13</v>
      </c>
      <c r="F832" t="s">
        <v>19</v>
      </c>
      <c r="G832" s="1">
        <v>5567</v>
      </c>
      <c r="H832">
        <v>2</v>
      </c>
      <c r="I832" s="1">
        <f>supermarket_sales_new[[#This Row],[Unit price]]*supermarket_sales_new[[#This Row],[Quantity]]*5%</f>
        <v>556.70000000000005</v>
      </c>
      <c r="J832" s="1">
        <f>(supermarket_sales_new[[#This Row],[Unit price]]*supermarket_sales_new[[#This Row],[Quantity]])+supermarket_sales_new[[#This Row],[Tax 5%]]</f>
        <v>11690.7</v>
      </c>
    </row>
    <row r="833" spans="1:10" x14ac:dyDescent="0.35">
      <c r="A833" t="s">
        <v>525</v>
      </c>
      <c r="B833" t="s">
        <v>856</v>
      </c>
      <c r="C833" t="s">
        <v>16</v>
      </c>
      <c r="D833" t="s">
        <v>17</v>
      </c>
      <c r="E833" t="s">
        <v>13</v>
      </c>
      <c r="F833" t="s">
        <v>19</v>
      </c>
      <c r="G833" s="1">
        <v>1205</v>
      </c>
      <c r="H833">
        <v>5</v>
      </c>
      <c r="I833" s="1">
        <f>supermarket_sales_new[[#This Row],[Unit price]]*supermarket_sales_new[[#This Row],[Quantity]]*5%</f>
        <v>301.25</v>
      </c>
      <c r="J833" s="1">
        <f>(supermarket_sales_new[[#This Row],[Unit price]]*supermarket_sales_new[[#This Row],[Quantity]])+supermarket_sales_new[[#This Row],[Tax 5%]]</f>
        <v>6326.25</v>
      </c>
    </row>
    <row r="834" spans="1:10" x14ac:dyDescent="0.35">
      <c r="A834" t="s">
        <v>525</v>
      </c>
      <c r="B834" t="s">
        <v>857</v>
      </c>
      <c r="C834" t="s">
        <v>11</v>
      </c>
      <c r="D834" t="s">
        <v>12</v>
      </c>
      <c r="E834" t="s">
        <v>13</v>
      </c>
      <c r="F834" t="s">
        <v>22</v>
      </c>
      <c r="G834" s="1">
        <v>1936</v>
      </c>
      <c r="H834">
        <v>9</v>
      </c>
      <c r="I834" s="1">
        <f>supermarket_sales_new[[#This Row],[Unit price]]*supermarket_sales_new[[#This Row],[Quantity]]*5%</f>
        <v>871.2</v>
      </c>
      <c r="J834" s="1">
        <f>(supermarket_sales_new[[#This Row],[Unit price]]*supermarket_sales_new[[#This Row],[Quantity]])+supermarket_sales_new[[#This Row],[Tax 5%]]</f>
        <v>18295.2</v>
      </c>
    </row>
    <row r="835" spans="1:10" x14ac:dyDescent="0.35">
      <c r="A835" t="s">
        <v>525</v>
      </c>
      <c r="B835" t="s">
        <v>858</v>
      </c>
      <c r="C835" t="s">
        <v>16</v>
      </c>
      <c r="D835" t="s">
        <v>17</v>
      </c>
      <c r="E835" t="s">
        <v>18</v>
      </c>
      <c r="F835" t="s">
        <v>14</v>
      </c>
      <c r="G835" s="1">
        <v>7021</v>
      </c>
      <c r="H835">
        <v>6</v>
      </c>
      <c r="I835" s="1">
        <f>supermarket_sales_new[[#This Row],[Unit price]]*supermarket_sales_new[[#This Row],[Quantity]]*5%</f>
        <v>2106.3000000000002</v>
      </c>
      <c r="J835" s="1">
        <f>(supermarket_sales_new[[#This Row],[Unit price]]*supermarket_sales_new[[#This Row],[Quantity]])+supermarket_sales_new[[#This Row],[Tax 5%]]</f>
        <v>44232.3</v>
      </c>
    </row>
    <row r="836" spans="1:10" x14ac:dyDescent="0.35">
      <c r="A836" t="s">
        <v>525</v>
      </c>
      <c r="B836" t="s">
        <v>859</v>
      </c>
      <c r="C836" t="s">
        <v>25</v>
      </c>
      <c r="D836" t="s">
        <v>26</v>
      </c>
      <c r="E836" t="s">
        <v>13</v>
      </c>
      <c r="F836" t="s">
        <v>29</v>
      </c>
      <c r="G836" s="1">
        <v>3363</v>
      </c>
      <c r="H836">
        <v>1</v>
      </c>
      <c r="I836" s="1">
        <f>supermarket_sales_new[[#This Row],[Unit price]]*supermarket_sales_new[[#This Row],[Quantity]]*5%</f>
        <v>168.15</v>
      </c>
      <c r="J836" s="1">
        <f>(supermarket_sales_new[[#This Row],[Unit price]]*supermarket_sales_new[[#This Row],[Quantity]])+supermarket_sales_new[[#This Row],[Tax 5%]]</f>
        <v>3531.15</v>
      </c>
    </row>
    <row r="837" spans="1:10" x14ac:dyDescent="0.35">
      <c r="A837" t="s">
        <v>525</v>
      </c>
      <c r="B837" t="s">
        <v>860</v>
      </c>
      <c r="C837" t="s">
        <v>16</v>
      </c>
      <c r="D837" t="s">
        <v>17</v>
      </c>
      <c r="E837" t="s">
        <v>18</v>
      </c>
      <c r="F837" t="s">
        <v>19</v>
      </c>
      <c r="G837" s="1">
        <v>2474</v>
      </c>
      <c r="H837">
        <v>10</v>
      </c>
      <c r="I837" s="1">
        <f>supermarket_sales_new[[#This Row],[Unit price]]*supermarket_sales_new[[#This Row],[Quantity]]*5%</f>
        <v>1237</v>
      </c>
      <c r="J837" s="1">
        <f>(supermarket_sales_new[[#This Row],[Unit price]]*supermarket_sales_new[[#This Row],[Quantity]])+supermarket_sales_new[[#This Row],[Tax 5%]]</f>
        <v>25977</v>
      </c>
    </row>
    <row r="838" spans="1:10" x14ac:dyDescent="0.35">
      <c r="A838" t="s">
        <v>525</v>
      </c>
      <c r="B838" t="s">
        <v>861</v>
      </c>
      <c r="C838" t="s">
        <v>25</v>
      </c>
      <c r="D838" t="s">
        <v>26</v>
      </c>
      <c r="E838" t="s">
        <v>18</v>
      </c>
      <c r="F838" t="s">
        <v>19</v>
      </c>
      <c r="G838" s="1">
        <v>7566</v>
      </c>
      <c r="H838">
        <v>5</v>
      </c>
      <c r="I838" s="1">
        <f>supermarket_sales_new[[#This Row],[Unit price]]*supermarket_sales_new[[#This Row],[Quantity]]*5%</f>
        <v>1891.5</v>
      </c>
      <c r="J838" s="1">
        <f>(supermarket_sales_new[[#This Row],[Unit price]]*supermarket_sales_new[[#This Row],[Quantity]])+supermarket_sales_new[[#This Row],[Tax 5%]]</f>
        <v>39721.5</v>
      </c>
    </row>
    <row r="839" spans="1:10" x14ac:dyDescent="0.35">
      <c r="A839" t="s">
        <v>525</v>
      </c>
      <c r="B839" t="s">
        <v>862</v>
      </c>
      <c r="C839" t="s">
        <v>11</v>
      </c>
      <c r="D839" t="s">
        <v>12</v>
      </c>
      <c r="E839" t="s">
        <v>13</v>
      </c>
      <c r="F839" t="s">
        <v>22</v>
      </c>
      <c r="G839" s="1">
        <v>7278</v>
      </c>
      <c r="H839">
        <v>10</v>
      </c>
      <c r="I839" s="1">
        <f>supermarket_sales_new[[#This Row],[Unit price]]*supermarket_sales_new[[#This Row],[Quantity]]*5%</f>
        <v>3639</v>
      </c>
      <c r="J839" s="1">
        <f>(supermarket_sales_new[[#This Row],[Unit price]]*supermarket_sales_new[[#This Row],[Quantity]])+supermarket_sales_new[[#This Row],[Tax 5%]]</f>
        <v>76419</v>
      </c>
    </row>
    <row r="840" spans="1:10" x14ac:dyDescent="0.35">
      <c r="A840" t="s">
        <v>525</v>
      </c>
      <c r="B840" t="s">
        <v>863</v>
      </c>
      <c r="C840" t="s">
        <v>25</v>
      </c>
      <c r="D840" t="s">
        <v>26</v>
      </c>
      <c r="E840" t="s">
        <v>13</v>
      </c>
      <c r="F840" t="s">
        <v>33</v>
      </c>
      <c r="G840" s="1">
        <v>3732</v>
      </c>
      <c r="H840">
        <v>9</v>
      </c>
      <c r="I840" s="1">
        <f>supermarket_sales_new[[#This Row],[Unit price]]*supermarket_sales_new[[#This Row],[Quantity]]*5%</f>
        <v>1679.4</v>
      </c>
      <c r="J840" s="1">
        <f>(supermarket_sales_new[[#This Row],[Unit price]]*supermarket_sales_new[[#This Row],[Quantity]])+supermarket_sales_new[[#This Row],[Tax 5%]]</f>
        <v>35267.4</v>
      </c>
    </row>
    <row r="841" spans="1:10" x14ac:dyDescent="0.35">
      <c r="A841" t="s">
        <v>525</v>
      </c>
      <c r="B841" t="s">
        <v>864</v>
      </c>
      <c r="C841" t="s">
        <v>25</v>
      </c>
      <c r="D841" t="s">
        <v>26</v>
      </c>
      <c r="E841" t="s">
        <v>13</v>
      </c>
      <c r="F841" t="s">
        <v>29</v>
      </c>
      <c r="G841" s="1">
        <v>6018</v>
      </c>
      <c r="H841">
        <v>4</v>
      </c>
      <c r="I841" s="1">
        <f>supermarket_sales_new[[#This Row],[Unit price]]*supermarket_sales_new[[#This Row],[Quantity]]*5%</f>
        <v>1203.6000000000001</v>
      </c>
      <c r="J841" s="1">
        <f>(supermarket_sales_new[[#This Row],[Unit price]]*supermarket_sales_new[[#This Row],[Quantity]])+supermarket_sales_new[[#This Row],[Tax 5%]]</f>
        <v>25275.599999999999</v>
      </c>
    </row>
    <row r="842" spans="1:10" x14ac:dyDescent="0.35">
      <c r="A842" t="s">
        <v>525</v>
      </c>
      <c r="B842" t="s">
        <v>865</v>
      </c>
      <c r="C842" t="s">
        <v>11</v>
      </c>
      <c r="D842" t="s">
        <v>12</v>
      </c>
      <c r="E842" t="s">
        <v>13</v>
      </c>
      <c r="F842" t="s">
        <v>29</v>
      </c>
      <c r="G842" s="1">
        <v>5545</v>
      </c>
      <c r="H842">
        <v>1</v>
      </c>
      <c r="I842" s="1">
        <f>supermarket_sales_new[[#This Row],[Unit price]]*supermarket_sales_new[[#This Row],[Quantity]]*5%</f>
        <v>277.25</v>
      </c>
      <c r="J842" s="1">
        <f>(supermarket_sales_new[[#This Row],[Unit price]]*supermarket_sales_new[[#This Row],[Quantity]])+supermarket_sales_new[[#This Row],[Tax 5%]]</f>
        <v>5822.25</v>
      </c>
    </row>
    <row r="843" spans="1:10" x14ac:dyDescent="0.35">
      <c r="A843" t="s">
        <v>525</v>
      </c>
      <c r="B843" t="s">
        <v>866</v>
      </c>
      <c r="C843" t="s">
        <v>16</v>
      </c>
      <c r="D843" t="s">
        <v>17</v>
      </c>
      <c r="E843" t="s">
        <v>13</v>
      </c>
      <c r="F843" t="s">
        <v>33</v>
      </c>
      <c r="G843" s="1">
        <v>1714</v>
      </c>
      <c r="H843">
        <v>7</v>
      </c>
      <c r="I843" s="1">
        <f>supermarket_sales_new[[#This Row],[Unit price]]*supermarket_sales_new[[#This Row],[Quantity]]*5%</f>
        <v>599.9</v>
      </c>
      <c r="J843" s="1">
        <f>(supermarket_sales_new[[#This Row],[Unit price]]*supermarket_sales_new[[#This Row],[Quantity]])+supermarket_sales_new[[#This Row],[Tax 5%]]</f>
        <v>12597.9</v>
      </c>
    </row>
    <row r="844" spans="1:10" x14ac:dyDescent="0.35">
      <c r="A844" t="s">
        <v>525</v>
      </c>
      <c r="B844" t="s">
        <v>867</v>
      </c>
      <c r="C844" t="s">
        <v>25</v>
      </c>
      <c r="D844" t="s">
        <v>26</v>
      </c>
      <c r="E844" t="s">
        <v>13</v>
      </c>
      <c r="F844" t="s">
        <v>27</v>
      </c>
      <c r="G844" s="1">
        <v>5774</v>
      </c>
      <c r="H844">
        <v>3</v>
      </c>
      <c r="I844" s="1">
        <f>supermarket_sales_new[[#This Row],[Unit price]]*supermarket_sales_new[[#This Row],[Quantity]]*5%</f>
        <v>866.1</v>
      </c>
      <c r="J844" s="1">
        <f>(supermarket_sales_new[[#This Row],[Unit price]]*supermarket_sales_new[[#This Row],[Quantity]])+supermarket_sales_new[[#This Row],[Tax 5%]]</f>
        <v>18188.099999999999</v>
      </c>
    </row>
    <row r="845" spans="1:10" x14ac:dyDescent="0.35">
      <c r="A845" t="s">
        <v>525</v>
      </c>
      <c r="B845" t="s">
        <v>868</v>
      </c>
      <c r="C845" t="s">
        <v>11</v>
      </c>
      <c r="D845" t="s">
        <v>12</v>
      </c>
      <c r="E845" t="s">
        <v>13</v>
      </c>
      <c r="F845" t="s">
        <v>29</v>
      </c>
      <c r="G845" s="1">
        <v>5604</v>
      </c>
      <c r="H845">
        <v>10</v>
      </c>
      <c r="I845" s="1">
        <f>supermarket_sales_new[[#This Row],[Unit price]]*supermarket_sales_new[[#This Row],[Quantity]]*5%</f>
        <v>2802</v>
      </c>
      <c r="J845" s="1">
        <f>(supermarket_sales_new[[#This Row],[Unit price]]*supermarket_sales_new[[#This Row],[Quantity]])+supermarket_sales_new[[#This Row],[Tax 5%]]</f>
        <v>58842</v>
      </c>
    </row>
    <row r="846" spans="1:10" x14ac:dyDescent="0.35">
      <c r="A846" t="s">
        <v>525</v>
      </c>
      <c r="B846" t="s">
        <v>869</v>
      </c>
      <c r="C846" t="s">
        <v>25</v>
      </c>
      <c r="D846" t="s">
        <v>26</v>
      </c>
      <c r="E846" t="s">
        <v>13</v>
      </c>
      <c r="F846" t="s">
        <v>27</v>
      </c>
      <c r="G846" s="1">
        <v>934</v>
      </c>
      <c r="H846">
        <v>2</v>
      </c>
      <c r="I846" s="1">
        <f>supermarket_sales_new[[#This Row],[Unit price]]*supermarket_sales_new[[#This Row],[Quantity]]*5%</f>
        <v>93.4</v>
      </c>
      <c r="J846" s="1">
        <f>(supermarket_sales_new[[#This Row],[Unit price]]*supermarket_sales_new[[#This Row],[Quantity]])+supermarket_sales_new[[#This Row],[Tax 5%]]</f>
        <v>1961.4</v>
      </c>
    </row>
    <row r="847" spans="1:10" x14ac:dyDescent="0.35">
      <c r="A847" t="s">
        <v>525</v>
      </c>
      <c r="B847" t="s">
        <v>870</v>
      </c>
      <c r="C847" t="s">
        <v>16</v>
      </c>
      <c r="D847" t="s">
        <v>17</v>
      </c>
      <c r="E847" t="s">
        <v>18</v>
      </c>
      <c r="F847" t="s">
        <v>14</v>
      </c>
      <c r="G847" s="1">
        <v>3364</v>
      </c>
      <c r="H847">
        <v>8</v>
      </c>
      <c r="I847" s="1">
        <f>supermarket_sales_new[[#This Row],[Unit price]]*supermarket_sales_new[[#This Row],[Quantity]]*5%</f>
        <v>1345.6000000000001</v>
      </c>
      <c r="J847" s="1">
        <f>(supermarket_sales_new[[#This Row],[Unit price]]*supermarket_sales_new[[#This Row],[Quantity]])+supermarket_sales_new[[#This Row],[Tax 5%]]</f>
        <v>28257.599999999999</v>
      </c>
    </row>
    <row r="848" spans="1:10" x14ac:dyDescent="0.35">
      <c r="A848" t="s">
        <v>525</v>
      </c>
      <c r="B848" t="s">
        <v>871</v>
      </c>
      <c r="C848" t="s">
        <v>25</v>
      </c>
      <c r="D848" t="s">
        <v>26</v>
      </c>
      <c r="E848" t="s">
        <v>13</v>
      </c>
      <c r="F848" t="s">
        <v>29</v>
      </c>
      <c r="G848" s="1">
        <v>8377</v>
      </c>
      <c r="H848">
        <v>2</v>
      </c>
      <c r="I848" s="1">
        <f>supermarket_sales_new[[#This Row],[Unit price]]*supermarket_sales_new[[#This Row],[Quantity]]*5%</f>
        <v>837.7</v>
      </c>
      <c r="J848" s="1">
        <f>(supermarket_sales_new[[#This Row],[Unit price]]*supermarket_sales_new[[#This Row],[Quantity]])+supermarket_sales_new[[#This Row],[Tax 5%]]</f>
        <v>17591.7</v>
      </c>
    </row>
    <row r="849" spans="1:10" x14ac:dyDescent="0.35">
      <c r="A849" t="s">
        <v>525</v>
      </c>
      <c r="B849" t="s">
        <v>872</v>
      </c>
      <c r="C849" t="s">
        <v>16</v>
      </c>
      <c r="D849" t="s">
        <v>17</v>
      </c>
      <c r="E849" t="s">
        <v>18</v>
      </c>
      <c r="F849" t="s">
        <v>14</v>
      </c>
      <c r="G849" s="1">
        <v>5895</v>
      </c>
      <c r="H849">
        <v>10</v>
      </c>
      <c r="I849" s="1">
        <f>supermarket_sales_new[[#This Row],[Unit price]]*supermarket_sales_new[[#This Row],[Quantity]]*5%</f>
        <v>2947.5</v>
      </c>
      <c r="J849" s="1">
        <f>(supermarket_sales_new[[#This Row],[Unit price]]*supermarket_sales_new[[#This Row],[Quantity]])+supermarket_sales_new[[#This Row],[Tax 5%]]</f>
        <v>61897.5</v>
      </c>
    </row>
    <row r="850" spans="1:10" x14ac:dyDescent="0.35">
      <c r="A850" t="s">
        <v>525</v>
      </c>
      <c r="B850" t="s">
        <v>873</v>
      </c>
      <c r="C850" t="s">
        <v>11</v>
      </c>
      <c r="D850" t="s">
        <v>12</v>
      </c>
      <c r="E850" t="s">
        <v>13</v>
      </c>
      <c r="F850" t="s">
        <v>27</v>
      </c>
      <c r="G850" s="1">
        <v>485</v>
      </c>
      <c r="H850">
        <v>6</v>
      </c>
      <c r="I850" s="1">
        <f>supermarket_sales_new[[#This Row],[Unit price]]*supermarket_sales_new[[#This Row],[Quantity]]*5%</f>
        <v>145.5</v>
      </c>
      <c r="J850" s="1">
        <f>(supermarket_sales_new[[#This Row],[Unit price]]*supermarket_sales_new[[#This Row],[Quantity]])+supermarket_sales_new[[#This Row],[Tax 5%]]</f>
        <v>3055.5</v>
      </c>
    </row>
    <row r="851" spans="1:10" x14ac:dyDescent="0.35">
      <c r="A851" t="s">
        <v>525</v>
      </c>
      <c r="B851" t="s">
        <v>874</v>
      </c>
      <c r="C851" t="s">
        <v>11</v>
      </c>
      <c r="D851" t="s">
        <v>12</v>
      </c>
      <c r="E851" t="s">
        <v>13</v>
      </c>
      <c r="F851" t="s">
        <v>29</v>
      </c>
      <c r="G851" s="1">
        <v>2148</v>
      </c>
      <c r="H851">
        <v>2</v>
      </c>
      <c r="I851" s="1">
        <f>supermarket_sales_new[[#This Row],[Unit price]]*supermarket_sales_new[[#This Row],[Quantity]]*5%</f>
        <v>214.8</v>
      </c>
      <c r="J851" s="1">
        <f>(supermarket_sales_new[[#This Row],[Unit price]]*supermarket_sales_new[[#This Row],[Quantity]])+supermarket_sales_new[[#This Row],[Tax 5%]]</f>
        <v>4510.8</v>
      </c>
    </row>
    <row r="852" spans="1:10" x14ac:dyDescent="0.35">
      <c r="A852" t="s">
        <v>525</v>
      </c>
      <c r="B852" t="s">
        <v>875</v>
      </c>
      <c r="C852" t="s">
        <v>11</v>
      </c>
      <c r="D852" t="s">
        <v>12</v>
      </c>
      <c r="E852" t="s">
        <v>13</v>
      </c>
      <c r="F852" t="s">
        <v>22</v>
      </c>
      <c r="G852" s="1">
        <v>6356</v>
      </c>
      <c r="H852">
        <v>10</v>
      </c>
      <c r="I852" s="1">
        <f>supermarket_sales_new[[#This Row],[Unit price]]*supermarket_sales_new[[#This Row],[Quantity]]*5%</f>
        <v>3178</v>
      </c>
      <c r="J852" s="1">
        <f>(supermarket_sales_new[[#This Row],[Unit price]]*supermarket_sales_new[[#This Row],[Quantity]])+supermarket_sales_new[[#This Row],[Tax 5%]]</f>
        <v>66738</v>
      </c>
    </row>
    <row r="853" spans="1:10" x14ac:dyDescent="0.35">
      <c r="A853" t="s">
        <v>525</v>
      </c>
      <c r="B853" t="s">
        <v>876</v>
      </c>
      <c r="C853" t="s">
        <v>16</v>
      </c>
      <c r="D853" t="s">
        <v>17</v>
      </c>
      <c r="E853" t="s">
        <v>13</v>
      </c>
      <c r="F853" t="s">
        <v>33</v>
      </c>
      <c r="G853" s="1">
        <v>7288</v>
      </c>
      <c r="H853">
        <v>2</v>
      </c>
      <c r="I853" s="1">
        <f>supermarket_sales_new[[#This Row],[Unit price]]*supermarket_sales_new[[#This Row],[Quantity]]*5%</f>
        <v>728.80000000000007</v>
      </c>
      <c r="J853" s="1">
        <f>(supermarket_sales_new[[#This Row],[Unit price]]*supermarket_sales_new[[#This Row],[Quantity]])+supermarket_sales_new[[#This Row],[Tax 5%]]</f>
        <v>15304.8</v>
      </c>
    </row>
    <row r="854" spans="1:10" x14ac:dyDescent="0.35">
      <c r="A854" t="s">
        <v>525</v>
      </c>
      <c r="B854" t="s">
        <v>877</v>
      </c>
      <c r="C854" t="s">
        <v>16</v>
      </c>
      <c r="D854" t="s">
        <v>17</v>
      </c>
      <c r="E854" t="s">
        <v>13</v>
      </c>
      <c r="F854" t="s">
        <v>27</v>
      </c>
      <c r="G854" s="1">
        <v>5504</v>
      </c>
      <c r="H854">
        <v>7</v>
      </c>
      <c r="I854" s="1">
        <f>supermarket_sales_new[[#This Row],[Unit price]]*supermarket_sales_new[[#This Row],[Quantity]]*5%</f>
        <v>1926.4</v>
      </c>
      <c r="J854" s="1">
        <f>(supermarket_sales_new[[#This Row],[Unit price]]*supermarket_sales_new[[#This Row],[Quantity]])+supermarket_sales_new[[#This Row],[Tax 5%]]</f>
        <v>40454.400000000001</v>
      </c>
    </row>
    <row r="855" spans="1:10" x14ac:dyDescent="0.35">
      <c r="A855" t="s">
        <v>525</v>
      </c>
      <c r="B855" t="s">
        <v>878</v>
      </c>
      <c r="C855" t="s">
        <v>11</v>
      </c>
      <c r="D855" t="s">
        <v>12</v>
      </c>
      <c r="E855" t="s">
        <v>13</v>
      </c>
      <c r="F855" t="s">
        <v>14</v>
      </c>
      <c r="G855" s="1">
        <v>4863</v>
      </c>
      <c r="H855">
        <v>10</v>
      </c>
      <c r="I855" s="1">
        <f>supermarket_sales_new[[#This Row],[Unit price]]*supermarket_sales_new[[#This Row],[Quantity]]*5%</f>
        <v>2431.5</v>
      </c>
      <c r="J855" s="1">
        <f>(supermarket_sales_new[[#This Row],[Unit price]]*supermarket_sales_new[[#This Row],[Quantity]])+supermarket_sales_new[[#This Row],[Tax 5%]]</f>
        <v>51061.5</v>
      </c>
    </row>
    <row r="856" spans="1:10" x14ac:dyDescent="0.35">
      <c r="A856" t="s">
        <v>525</v>
      </c>
      <c r="B856" t="s">
        <v>879</v>
      </c>
      <c r="C856" t="s">
        <v>25</v>
      </c>
      <c r="D856" t="s">
        <v>26</v>
      </c>
      <c r="E856" t="s">
        <v>18</v>
      </c>
      <c r="F856" t="s">
        <v>22</v>
      </c>
      <c r="G856" s="1">
        <v>6219</v>
      </c>
      <c r="H856">
        <v>4</v>
      </c>
      <c r="I856" s="1">
        <f>supermarket_sales_new[[#This Row],[Unit price]]*supermarket_sales_new[[#This Row],[Quantity]]*5%</f>
        <v>1243.8000000000002</v>
      </c>
      <c r="J856" s="1">
        <f>(supermarket_sales_new[[#This Row],[Unit price]]*supermarket_sales_new[[#This Row],[Quantity]])+supermarket_sales_new[[#This Row],[Tax 5%]]</f>
        <v>26119.8</v>
      </c>
    </row>
    <row r="857" spans="1:10" x14ac:dyDescent="0.35">
      <c r="A857" t="s">
        <v>525</v>
      </c>
      <c r="B857" t="s">
        <v>880</v>
      </c>
      <c r="C857" t="s">
        <v>11</v>
      </c>
      <c r="D857" t="s">
        <v>12</v>
      </c>
      <c r="E857" t="s">
        <v>13</v>
      </c>
      <c r="F857" t="s">
        <v>19</v>
      </c>
      <c r="G857" s="1">
        <v>6958</v>
      </c>
      <c r="H857">
        <v>9</v>
      </c>
      <c r="I857" s="1">
        <f>supermarket_sales_new[[#This Row],[Unit price]]*supermarket_sales_new[[#This Row],[Quantity]]*5%</f>
        <v>3131.1000000000004</v>
      </c>
      <c r="J857" s="1">
        <f>(supermarket_sales_new[[#This Row],[Unit price]]*supermarket_sales_new[[#This Row],[Quantity]])+supermarket_sales_new[[#This Row],[Tax 5%]]</f>
        <v>65753.100000000006</v>
      </c>
    </row>
    <row r="858" spans="1:10" x14ac:dyDescent="0.35">
      <c r="A858" t="s">
        <v>525</v>
      </c>
      <c r="B858" t="s">
        <v>881</v>
      </c>
      <c r="C858" t="s">
        <v>16</v>
      </c>
      <c r="D858" t="s">
        <v>17</v>
      </c>
      <c r="E858" t="s">
        <v>18</v>
      </c>
      <c r="F858" t="s">
        <v>22</v>
      </c>
      <c r="G858" s="1">
        <v>975</v>
      </c>
      <c r="H858">
        <v>10</v>
      </c>
      <c r="I858" s="1">
        <f>supermarket_sales_new[[#This Row],[Unit price]]*supermarket_sales_new[[#This Row],[Quantity]]*5%</f>
        <v>487.5</v>
      </c>
      <c r="J858" s="1">
        <f>(supermarket_sales_new[[#This Row],[Unit price]]*supermarket_sales_new[[#This Row],[Quantity]])+supermarket_sales_new[[#This Row],[Tax 5%]]</f>
        <v>10237.5</v>
      </c>
    </row>
    <row r="859" spans="1:10" x14ac:dyDescent="0.35">
      <c r="A859" t="s">
        <v>525</v>
      </c>
      <c r="B859" t="s">
        <v>882</v>
      </c>
      <c r="C859" t="s">
        <v>25</v>
      </c>
      <c r="D859" t="s">
        <v>26</v>
      </c>
      <c r="E859" t="s">
        <v>18</v>
      </c>
      <c r="F859" t="s">
        <v>27</v>
      </c>
      <c r="G859" s="1">
        <v>3232</v>
      </c>
      <c r="H859">
        <v>3</v>
      </c>
      <c r="I859" s="1">
        <f>supermarket_sales_new[[#This Row],[Unit price]]*supermarket_sales_new[[#This Row],[Quantity]]*5%</f>
        <v>484.8</v>
      </c>
      <c r="J859" s="1">
        <f>(supermarket_sales_new[[#This Row],[Unit price]]*supermarket_sales_new[[#This Row],[Quantity]])+supermarket_sales_new[[#This Row],[Tax 5%]]</f>
        <v>10180.799999999999</v>
      </c>
    </row>
    <row r="860" spans="1:10" x14ac:dyDescent="0.35">
      <c r="A860" t="s">
        <v>525</v>
      </c>
      <c r="B860" t="s">
        <v>883</v>
      </c>
      <c r="C860" t="s">
        <v>25</v>
      </c>
      <c r="D860" t="s">
        <v>26</v>
      </c>
      <c r="E860" t="s">
        <v>13</v>
      </c>
      <c r="F860" t="s">
        <v>14</v>
      </c>
      <c r="G860" s="1">
        <v>8047</v>
      </c>
      <c r="H860">
        <v>9</v>
      </c>
      <c r="I860" s="1">
        <f>supermarket_sales_new[[#This Row],[Unit price]]*supermarket_sales_new[[#This Row],[Quantity]]*5%</f>
        <v>3621.15</v>
      </c>
      <c r="J860" s="1">
        <f>(supermarket_sales_new[[#This Row],[Unit price]]*supermarket_sales_new[[#This Row],[Quantity]])+supermarket_sales_new[[#This Row],[Tax 5%]]</f>
        <v>76044.149999999994</v>
      </c>
    </row>
    <row r="861" spans="1:10" x14ac:dyDescent="0.35">
      <c r="A861" t="s">
        <v>525</v>
      </c>
      <c r="B861" t="s">
        <v>884</v>
      </c>
      <c r="C861" t="s">
        <v>25</v>
      </c>
      <c r="D861" t="s">
        <v>26</v>
      </c>
      <c r="E861" t="s">
        <v>18</v>
      </c>
      <c r="F861" t="s">
        <v>14</v>
      </c>
      <c r="G861" s="1">
        <v>7177</v>
      </c>
      <c r="H861">
        <v>7</v>
      </c>
      <c r="I861" s="1">
        <f>supermarket_sales_new[[#This Row],[Unit price]]*supermarket_sales_new[[#This Row],[Quantity]]*5%</f>
        <v>2511.9500000000003</v>
      </c>
      <c r="J861" s="1">
        <f>(supermarket_sales_new[[#This Row],[Unit price]]*supermarket_sales_new[[#This Row],[Quantity]])+supermarket_sales_new[[#This Row],[Tax 5%]]</f>
        <v>52750.95</v>
      </c>
    </row>
    <row r="862" spans="1:10" x14ac:dyDescent="0.35">
      <c r="A862" t="s">
        <v>525</v>
      </c>
      <c r="B862" t="s">
        <v>885</v>
      </c>
      <c r="C862" t="s">
        <v>16</v>
      </c>
      <c r="D862" t="s">
        <v>17</v>
      </c>
      <c r="E862" t="s">
        <v>13</v>
      </c>
      <c r="F862" t="s">
        <v>27</v>
      </c>
      <c r="G862" s="1">
        <v>6898</v>
      </c>
      <c r="H862">
        <v>1</v>
      </c>
      <c r="I862" s="1">
        <f>supermarket_sales_new[[#This Row],[Unit price]]*supermarket_sales_new[[#This Row],[Quantity]]*5%</f>
        <v>344.90000000000003</v>
      </c>
      <c r="J862" s="1">
        <f>(supermarket_sales_new[[#This Row],[Unit price]]*supermarket_sales_new[[#This Row],[Quantity]])+supermarket_sales_new[[#This Row],[Tax 5%]]</f>
        <v>7242.9</v>
      </c>
    </row>
    <row r="863" spans="1:10" x14ac:dyDescent="0.35">
      <c r="A863" t="s">
        <v>525</v>
      </c>
      <c r="B863" t="s">
        <v>886</v>
      </c>
      <c r="C863" t="s">
        <v>16</v>
      </c>
      <c r="D863" t="s">
        <v>17</v>
      </c>
      <c r="E863" t="s">
        <v>18</v>
      </c>
      <c r="F863" t="s">
        <v>29</v>
      </c>
      <c r="G863" s="1">
        <v>1562</v>
      </c>
      <c r="H863">
        <v>8</v>
      </c>
      <c r="I863" s="1">
        <f>supermarket_sales_new[[#This Row],[Unit price]]*supermarket_sales_new[[#This Row],[Quantity]]*5%</f>
        <v>624.80000000000007</v>
      </c>
      <c r="J863" s="1">
        <f>(supermarket_sales_new[[#This Row],[Unit price]]*supermarket_sales_new[[#This Row],[Quantity]])+supermarket_sales_new[[#This Row],[Tax 5%]]</f>
        <v>13120.8</v>
      </c>
    </row>
    <row r="864" spans="1:10" x14ac:dyDescent="0.35">
      <c r="A864" t="s">
        <v>525</v>
      </c>
      <c r="B864" t="s">
        <v>887</v>
      </c>
      <c r="C864" t="s">
        <v>11</v>
      </c>
      <c r="D864" t="s">
        <v>12</v>
      </c>
      <c r="E864" t="s">
        <v>18</v>
      </c>
      <c r="F864" t="s">
        <v>33</v>
      </c>
      <c r="G864" s="1">
        <v>257</v>
      </c>
      <c r="H864">
        <v>3</v>
      </c>
      <c r="I864" s="1">
        <f>supermarket_sales_new[[#This Row],[Unit price]]*supermarket_sales_new[[#This Row],[Quantity]]*5%</f>
        <v>38.550000000000004</v>
      </c>
      <c r="J864" s="1">
        <f>(supermarket_sales_new[[#This Row],[Unit price]]*supermarket_sales_new[[#This Row],[Quantity]])+supermarket_sales_new[[#This Row],[Tax 5%]]</f>
        <v>809.55</v>
      </c>
    </row>
    <row r="865" spans="1:10" x14ac:dyDescent="0.35">
      <c r="A865" t="s">
        <v>525</v>
      </c>
      <c r="B865" t="s">
        <v>888</v>
      </c>
      <c r="C865" t="s">
        <v>11</v>
      </c>
      <c r="D865" t="s">
        <v>12</v>
      </c>
      <c r="E865" t="s">
        <v>13</v>
      </c>
      <c r="F865" t="s">
        <v>27</v>
      </c>
      <c r="G865" s="1">
        <v>8062</v>
      </c>
      <c r="H865">
        <v>6</v>
      </c>
      <c r="I865" s="1">
        <f>supermarket_sales_new[[#This Row],[Unit price]]*supermarket_sales_new[[#This Row],[Quantity]]*5%</f>
        <v>2418.6</v>
      </c>
      <c r="J865" s="1">
        <f>(supermarket_sales_new[[#This Row],[Unit price]]*supermarket_sales_new[[#This Row],[Quantity]])+supermarket_sales_new[[#This Row],[Tax 5%]]</f>
        <v>50790.6</v>
      </c>
    </row>
    <row r="866" spans="1:10" x14ac:dyDescent="0.35">
      <c r="A866" t="s">
        <v>525</v>
      </c>
      <c r="B866" t="s">
        <v>889</v>
      </c>
      <c r="C866" t="s">
        <v>16</v>
      </c>
      <c r="D866" t="s">
        <v>17</v>
      </c>
      <c r="E866" t="s">
        <v>13</v>
      </c>
      <c r="F866" t="s">
        <v>29</v>
      </c>
      <c r="G866" s="1">
        <v>987</v>
      </c>
      <c r="H866">
        <v>8</v>
      </c>
      <c r="I866" s="1">
        <f>supermarket_sales_new[[#This Row],[Unit price]]*supermarket_sales_new[[#This Row],[Quantity]]*5%</f>
        <v>394.8</v>
      </c>
      <c r="J866" s="1">
        <f>(supermarket_sales_new[[#This Row],[Unit price]]*supermarket_sales_new[[#This Row],[Quantity]])+supermarket_sales_new[[#This Row],[Tax 5%]]</f>
        <v>8290.7999999999993</v>
      </c>
    </row>
    <row r="867" spans="1:10" x14ac:dyDescent="0.35">
      <c r="A867" t="s">
        <v>525</v>
      </c>
      <c r="B867" t="s">
        <v>890</v>
      </c>
      <c r="C867" t="s">
        <v>11</v>
      </c>
      <c r="D867" t="s">
        <v>12</v>
      </c>
      <c r="E867" t="s">
        <v>13</v>
      </c>
      <c r="F867" t="s">
        <v>19</v>
      </c>
      <c r="G867" s="1">
        <v>1194</v>
      </c>
      <c r="H867">
        <v>3</v>
      </c>
      <c r="I867" s="1">
        <f>supermarket_sales_new[[#This Row],[Unit price]]*supermarket_sales_new[[#This Row],[Quantity]]*5%</f>
        <v>179.10000000000002</v>
      </c>
      <c r="J867" s="1">
        <f>(supermarket_sales_new[[#This Row],[Unit price]]*supermarket_sales_new[[#This Row],[Quantity]])+supermarket_sales_new[[#This Row],[Tax 5%]]</f>
        <v>3761.1</v>
      </c>
    </row>
    <row r="868" spans="1:10" x14ac:dyDescent="0.35">
      <c r="A868" t="s">
        <v>525</v>
      </c>
      <c r="B868" t="s">
        <v>891</v>
      </c>
      <c r="C868" t="s">
        <v>11</v>
      </c>
      <c r="D868" t="s">
        <v>12</v>
      </c>
      <c r="E868" t="s">
        <v>18</v>
      </c>
      <c r="F868" t="s">
        <v>29</v>
      </c>
      <c r="G868" s="1">
        <v>4538</v>
      </c>
      <c r="H868">
        <v>3</v>
      </c>
      <c r="I868" s="1">
        <f>supermarket_sales_new[[#This Row],[Unit price]]*supermarket_sales_new[[#This Row],[Quantity]]*5%</f>
        <v>680.7</v>
      </c>
      <c r="J868" s="1">
        <f>(supermarket_sales_new[[#This Row],[Unit price]]*supermarket_sales_new[[#This Row],[Quantity]])+supermarket_sales_new[[#This Row],[Tax 5%]]</f>
        <v>14294.7</v>
      </c>
    </row>
    <row r="869" spans="1:10" x14ac:dyDescent="0.35">
      <c r="A869" t="s">
        <v>525</v>
      </c>
      <c r="B869" t="s">
        <v>892</v>
      </c>
      <c r="C869" t="s">
        <v>25</v>
      </c>
      <c r="D869" t="s">
        <v>26</v>
      </c>
      <c r="E869" t="s">
        <v>18</v>
      </c>
      <c r="F869" t="s">
        <v>22</v>
      </c>
      <c r="G869" s="1">
        <v>4412</v>
      </c>
      <c r="H869">
        <v>3</v>
      </c>
      <c r="I869" s="1">
        <f>supermarket_sales_new[[#This Row],[Unit price]]*supermarket_sales_new[[#This Row],[Quantity]]*5%</f>
        <v>661.80000000000007</v>
      </c>
      <c r="J869" s="1">
        <f>(supermarket_sales_new[[#This Row],[Unit price]]*supermarket_sales_new[[#This Row],[Quantity]])+supermarket_sales_new[[#This Row],[Tax 5%]]</f>
        <v>13897.8</v>
      </c>
    </row>
    <row r="870" spans="1:10" x14ac:dyDescent="0.35">
      <c r="A870" t="s">
        <v>525</v>
      </c>
      <c r="B870" t="s">
        <v>893</v>
      </c>
      <c r="C870" t="s">
        <v>25</v>
      </c>
      <c r="D870" t="s">
        <v>26</v>
      </c>
      <c r="E870" t="s">
        <v>13</v>
      </c>
      <c r="F870" t="s">
        <v>27</v>
      </c>
      <c r="G870" s="1">
        <v>2334</v>
      </c>
      <c r="H870">
        <v>4</v>
      </c>
      <c r="I870" s="1">
        <f>supermarket_sales_new[[#This Row],[Unit price]]*supermarket_sales_new[[#This Row],[Quantity]]*5%</f>
        <v>466.8</v>
      </c>
      <c r="J870" s="1">
        <f>(supermarket_sales_new[[#This Row],[Unit price]]*supermarket_sales_new[[#This Row],[Quantity]])+supermarket_sales_new[[#This Row],[Tax 5%]]</f>
        <v>9802.7999999999993</v>
      </c>
    </row>
    <row r="871" spans="1:10" x14ac:dyDescent="0.35">
      <c r="A871" t="s">
        <v>525</v>
      </c>
      <c r="B871" t="s">
        <v>894</v>
      </c>
      <c r="C871" t="s">
        <v>16</v>
      </c>
      <c r="D871" t="s">
        <v>17</v>
      </c>
      <c r="E871" t="s">
        <v>13</v>
      </c>
      <c r="F871" t="s">
        <v>22</v>
      </c>
      <c r="G871" s="1">
        <v>5557</v>
      </c>
      <c r="H871">
        <v>3</v>
      </c>
      <c r="I871" s="1">
        <f>supermarket_sales_new[[#This Row],[Unit price]]*supermarket_sales_new[[#This Row],[Quantity]]*5%</f>
        <v>833.55000000000007</v>
      </c>
      <c r="J871" s="1">
        <f>(supermarket_sales_new[[#This Row],[Unit price]]*supermarket_sales_new[[#This Row],[Quantity]])+supermarket_sales_new[[#This Row],[Tax 5%]]</f>
        <v>17504.55</v>
      </c>
    </row>
    <row r="872" spans="1:10" x14ac:dyDescent="0.35">
      <c r="A872" t="s">
        <v>525</v>
      </c>
      <c r="B872" t="s">
        <v>895</v>
      </c>
      <c r="C872" t="s">
        <v>25</v>
      </c>
      <c r="D872" t="s">
        <v>26</v>
      </c>
      <c r="E872" t="s">
        <v>18</v>
      </c>
      <c r="F872" t="s">
        <v>33</v>
      </c>
      <c r="G872" s="1">
        <v>6974</v>
      </c>
      <c r="H872">
        <v>10</v>
      </c>
      <c r="I872" s="1">
        <f>supermarket_sales_new[[#This Row],[Unit price]]*supermarket_sales_new[[#This Row],[Quantity]]*5%</f>
        <v>3487</v>
      </c>
      <c r="J872" s="1">
        <f>(supermarket_sales_new[[#This Row],[Unit price]]*supermarket_sales_new[[#This Row],[Quantity]])+supermarket_sales_new[[#This Row],[Tax 5%]]</f>
        <v>73227</v>
      </c>
    </row>
    <row r="873" spans="1:10" x14ac:dyDescent="0.35">
      <c r="A873" t="s">
        <v>525</v>
      </c>
      <c r="B873" t="s">
        <v>896</v>
      </c>
      <c r="C873" t="s">
        <v>16</v>
      </c>
      <c r="D873" t="s">
        <v>17</v>
      </c>
      <c r="E873" t="s">
        <v>18</v>
      </c>
      <c r="F873" t="s">
        <v>29</v>
      </c>
      <c r="G873" s="1">
        <v>9726</v>
      </c>
      <c r="H873">
        <v>4</v>
      </c>
      <c r="I873" s="1">
        <f>supermarket_sales_new[[#This Row],[Unit price]]*supermarket_sales_new[[#This Row],[Quantity]]*5%</f>
        <v>1945.2</v>
      </c>
      <c r="J873" s="1">
        <f>(supermarket_sales_new[[#This Row],[Unit price]]*supermarket_sales_new[[#This Row],[Quantity]])+supermarket_sales_new[[#This Row],[Tax 5%]]</f>
        <v>40849.199999999997</v>
      </c>
    </row>
    <row r="874" spans="1:10" x14ac:dyDescent="0.35">
      <c r="A874" t="s">
        <v>525</v>
      </c>
      <c r="B874" t="s">
        <v>897</v>
      </c>
      <c r="C874" t="s">
        <v>11</v>
      </c>
      <c r="D874" t="s">
        <v>12</v>
      </c>
      <c r="E874" t="s">
        <v>18</v>
      </c>
      <c r="F874" t="s">
        <v>14</v>
      </c>
      <c r="G874" s="1">
        <v>56</v>
      </c>
      <c r="H874">
        <v>3</v>
      </c>
      <c r="I874" s="1">
        <f>supermarket_sales_new[[#This Row],[Unit price]]*supermarket_sales_new[[#This Row],[Quantity]]*5%</f>
        <v>8.4</v>
      </c>
      <c r="J874" s="1">
        <f>(supermarket_sales_new[[#This Row],[Unit price]]*supermarket_sales_new[[#This Row],[Quantity]])+supermarket_sales_new[[#This Row],[Tax 5%]]</f>
        <v>176.4</v>
      </c>
    </row>
    <row r="875" spans="1:10" x14ac:dyDescent="0.35">
      <c r="A875" t="s">
        <v>525</v>
      </c>
      <c r="B875" t="s">
        <v>898</v>
      </c>
      <c r="C875" t="s">
        <v>11</v>
      </c>
      <c r="D875" t="s">
        <v>12</v>
      </c>
      <c r="E875" t="s">
        <v>13</v>
      </c>
      <c r="F875" t="s">
        <v>29</v>
      </c>
      <c r="G875" s="1">
        <v>197</v>
      </c>
      <c r="H875">
        <v>1</v>
      </c>
      <c r="I875" s="1">
        <f>supermarket_sales_new[[#This Row],[Unit price]]*supermarket_sales_new[[#This Row],[Quantity]]*5%</f>
        <v>9.8500000000000014</v>
      </c>
      <c r="J875" s="1">
        <f>(supermarket_sales_new[[#This Row],[Unit price]]*supermarket_sales_new[[#This Row],[Quantity]])+supermarket_sales_new[[#This Row],[Tax 5%]]</f>
        <v>206.85</v>
      </c>
    </row>
    <row r="876" spans="1:10" x14ac:dyDescent="0.35">
      <c r="A876" t="s">
        <v>525</v>
      </c>
      <c r="B876" t="s">
        <v>899</v>
      </c>
      <c r="C876" t="s">
        <v>25</v>
      </c>
      <c r="D876" t="s">
        <v>26</v>
      </c>
      <c r="E876" t="s">
        <v>18</v>
      </c>
      <c r="F876" t="s">
        <v>19</v>
      </c>
      <c r="G876" s="1">
        <v>7588</v>
      </c>
      <c r="H876">
        <v>7</v>
      </c>
      <c r="I876" s="1">
        <f>supermarket_sales_new[[#This Row],[Unit price]]*supermarket_sales_new[[#This Row],[Quantity]]*5%</f>
        <v>2655.8</v>
      </c>
      <c r="J876" s="1">
        <f>(supermarket_sales_new[[#This Row],[Unit price]]*supermarket_sales_new[[#This Row],[Quantity]])+supermarket_sales_new[[#This Row],[Tax 5%]]</f>
        <v>55771.8</v>
      </c>
    </row>
    <row r="877" spans="1:10" x14ac:dyDescent="0.35">
      <c r="A877" t="s">
        <v>525</v>
      </c>
      <c r="B877" t="s">
        <v>900</v>
      </c>
      <c r="C877" t="s">
        <v>25</v>
      </c>
      <c r="D877" t="s">
        <v>26</v>
      </c>
      <c r="E877" t="s">
        <v>13</v>
      </c>
      <c r="F877" t="s">
        <v>27</v>
      </c>
      <c r="G877" s="1">
        <v>5372</v>
      </c>
      <c r="H877">
        <v>1</v>
      </c>
      <c r="I877" s="1">
        <f>supermarket_sales_new[[#This Row],[Unit price]]*supermarket_sales_new[[#This Row],[Quantity]]*5%</f>
        <v>268.60000000000002</v>
      </c>
      <c r="J877" s="1">
        <f>(supermarket_sales_new[[#This Row],[Unit price]]*supermarket_sales_new[[#This Row],[Quantity]])+supermarket_sales_new[[#This Row],[Tax 5%]]</f>
        <v>5640.6</v>
      </c>
    </row>
    <row r="878" spans="1:10" x14ac:dyDescent="0.35">
      <c r="A878" t="s">
        <v>525</v>
      </c>
      <c r="B878" t="s">
        <v>901</v>
      </c>
      <c r="C878" t="s">
        <v>16</v>
      </c>
      <c r="D878" t="s">
        <v>17</v>
      </c>
      <c r="E878" t="s">
        <v>13</v>
      </c>
      <c r="F878" t="s">
        <v>14</v>
      </c>
      <c r="G878" s="1">
        <v>8195</v>
      </c>
      <c r="H878">
        <v>10</v>
      </c>
      <c r="I878" s="1">
        <f>supermarket_sales_new[[#This Row],[Unit price]]*supermarket_sales_new[[#This Row],[Quantity]]*5%</f>
        <v>4097.5</v>
      </c>
      <c r="J878" s="1">
        <f>(supermarket_sales_new[[#This Row],[Unit price]]*supermarket_sales_new[[#This Row],[Quantity]])+supermarket_sales_new[[#This Row],[Tax 5%]]</f>
        <v>86047.5</v>
      </c>
    </row>
    <row r="879" spans="1:10" x14ac:dyDescent="0.35">
      <c r="A879" t="s">
        <v>525</v>
      </c>
      <c r="B879" t="s">
        <v>902</v>
      </c>
      <c r="C879" t="s">
        <v>16</v>
      </c>
      <c r="D879" t="s">
        <v>17</v>
      </c>
      <c r="E879" t="s">
        <v>18</v>
      </c>
      <c r="F879" t="s">
        <v>19</v>
      </c>
      <c r="G879" s="1">
        <v>5876</v>
      </c>
      <c r="H879">
        <v>10</v>
      </c>
      <c r="I879" s="1">
        <f>supermarket_sales_new[[#This Row],[Unit price]]*supermarket_sales_new[[#This Row],[Quantity]]*5%</f>
        <v>2938</v>
      </c>
      <c r="J879" s="1">
        <f>(supermarket_sales_new[[#This Row],[Unit price]]*supermarket_sales_new[[#This Row],[Quantity]])+supermarket_sales_new[[#This Row],[Tax 5%]]</f>
        <v>61698</v>
      </c>
    </row>
    <row r="880" spans="1:10" x14ac:dyDescent="0.35">
      <c r="A880" t="s">
        <v>525</v>
      </c>
      <c r="B880" t="s">
        <v>903</v>
      </c>
      <c r="C880" t="s">
        <v>25</v>
      </c>
      <c r="D880" t="s">
        <v>26</v>
      </c>
      <c r="E880" t="s">
        <v>13</v>
      </c>
      <c r="F880" t="s">
        <v>19</v>
      </c>
      <c r="G880" s="1">
        <v>9156</v>
      </c>
      <c r="H880">
        <v>8</v>
      </c>
      <c r="I880" s="1">
        <f>supermarket_sales_new[[#This Row],[Unit price]]*supermarket_sales_new[[#This Row],[Quantity]]*5%</f>
        <v>3662.4</v>
      </c>
      <c r="J880" s="1">
        <f>(supermarket_sales_new[[#This Row],[Unit price]]*supermarket_sales_new[[#This Row],[Quantity]])+supermarket_sales_new[[#This Row],[Tax 5%]]</f>
        <v>76910.399999999994</v>
      </c>
    </row>
    <row r="881" spans="1:10" x14ac:dyDescent="0.35">
      <c r="A881" t="s">
        <v>525</v>
      </c>
      <c r="B881" t="s">
        <v>904</v>
      </c>
      <c r="C881" t="s">
        <v>11</v>
      </c>
      <c r="D881" t="s">
        <v>12</v>
      </c>
      <c r="E881" t="s">
        <v>18</v>
      </c>
      <c r="F881" t="s">
        <v>22</v>
      </c>
      <c r="G881" s="1">
        <v>9396</v>
      </c>
      <c r="H881">
        <v>9</v>
      </c>
      <c r="I881" s="1">
        <f>supermarket_sales_new[[#This Row],[Unit price]]*supermarket_sales_new[[#This Row],[Quantity]]*5%</f>
        <v>4228.2</v>
      </c>
      <c r="J881" s="1">
        <f>(supermarket_sales_new[[#This Row],[Unit price]]*supermarket_sales_new[[#This Row],[Quantity]])+supermarket_sales_new[[#This Row],[Tax 5%]]</f>
        <v>88792.2</v>
      </c>
    </row>
    <row r="882" spans="1:10" x14ac:dyDescent="0.35">
      <c r="A882" t="s">
        <v>525</v>
      </c>
      <c r="B882" t="s">
        <v>905</v>
      </c>
      <c r="C882" t="s">
        <v>16</v>
      </c>
      <c r="D882" t="s">
        <v>17</v>
      </c>
      <c r="E882" t="s">
        <v>18</v>
      </c>
      <c r="F882" t="s">
        <v>22</v>
      </c>
      <c r="G882" s="1">
        <v>5561</v>
      </c>
      <c r="H882">
        <v>7</v>
      </c>
      <c r="I882" s="1">
        <f>supermarket_sales_new[[#This Row],[Unit price]]*supermarket_sales_new[[#This Row],[Quantity]]*5%</f>
        <v>1946.3500000000001</v>
      </c>
      <c r="J882" s="1">
        <f>(supermarket_sales_new[[#This Row],[Unit price]]*supermarket_sales_new[[#This Row],[Quantity]])+supermarket_sales_new[[#This Row],[Tax 5%]]</f>
        <v>40873.35</v>
      </c>
    </row>
    <row r="883" spans="1:10" x14ac:dyDescent="0.35">
      <c r="A883" t="s">
        <v>525</v>
      </c>
      <c r="B883" t="s">
        <v>906</v>
      </c>
      <c r="C883" t="s">
        <v>16</v>
      </c>
      <c r="D883" t="s">
        <v>17</v>
      </c>
      <c r="E883" t="s">
        <v>18</v>
      </c>
      <c r="F883" t="s">
        <v>27</v>
      </c>
      <c r="G883" s="1">
        <v>8483</v>
      </c>
      <c r="H883">
        <v>1</v>
      </c>
      <c r="I883" s="1">
        <f>supermarket_sales_new[[#This Row],[Unit price]]*supermarket_sales_new[[#This Row],[Quantity]]*5%</f>
        <v>424.15000000000003</v>
      </c>
      <c r="J883" s="1">
        <f>(supermarket_sales_new[[#This Row],[Unit price]]*supermarket_sales_new[[#This Row],[Quantity]])+supermarket_sales_new[[#This Row],[Tax 5%]]</f>
        <v>8907.15</v>
      </c>
    </row>
    <row r="884" spans="1:10" x14ac:dyDescent="0.35">
      <c r="A884" t="s">
        <v>525</v>
      </c>
      <c r="B884" t="s">
        <v>907</v>
      </c>
      <c r="C884" t="s">
        <v>11</v>
      </c>
      <c r="D884" t="s">
        <v>12</v>
      </c>
      <c r="E884" t="s">
        <v>13</v>
      </c>
      <c r="F884" t="s">
        <v>22</v>
      </c>
      <c r="G884" s="1">
        <v>3769</v>
      </c>
      <c r="H884">
        <v>2</v>
      </c>
      <c r="I884" s="1">
        <f>supermarket_sales_new[[#This Row],[Unit price]]*supermarket_sales_new[[#This Row],[Quantity]]*5%</f>
        <v>376.90000000000003</v>
      </c>
      <c r="J884" s="1">
        <f>(supermarket_sales_new[[#This Row],[Unit price]]*supermarket_sales_new[[#This Row],[Quantity]])+supermarket_sales_new[[#This Row],[Tax 5%]]</f>
        <v>7914.9</v>
      </c>
    </row>
    <row r="885" spans="1:10" x14ac:dyDescent="0.35">
      <c r="A885" t="s">
        <v>525</v>
      </c>
      <c r="B885" t="s">
        <v>908</v>
      </c>
      <c r="C885" t="s">
        <v>25</v>
      </c>
      <c r="D885" t="s">
        <v>26</v>
      </c>
      <c r="E885" t="s">
        <v>13</v>
      </c>
      <c r="F885" t="s">
        <v>29</v>
      </c>
      <c r="G885" s="1">
        <v>6523</v>
      </c>
      <c r="H885">
        <v>10</v>
      </c>
      <c r="I885" s="1">
        <f>supermarket_sales_new[[#This Row],[Unit price]]*supermarket_sales_new[[#This Row],[Quantity]]*5%</f>
        <v>3261.5</v>
      </c>
      <c r="J885" s="1">
        <f>(supermarket_sales_new[[#This Row],[Unit price]]*supermarket_sales_new[[#This Row],[Quantity]])+supermarket_sales_new[[#This Row],[Tax 5%]]</f>
        <v>68491.5</v>
      </c>
    </row>
    <row r="886" spans="1:10" x14ac:dyDescent="0.35">
      <c r="A886" t="s">
        <v>525</v>
      </c>
      <c r="B886" t="s">
        <v>909</v>
      </c>
      <c r="C886" t="s">
        <v>16</v>
      </c>
      <c r="D886" t="s">
        <v>17</v>
      </c>
      <c r="E886" t="s">
        <v>13</v>
      </c>
      <c r="F886" t="s">
        <v>14</v>
      </c>
      <c r="G886" s="1">
        <v>8123</v>
      </c>
      <c r="H886">
        <v>7</v>
      </c>
      <c r="I886" s="1">
        <f>supermarket_sales_new[[#This Row],[Unit price]]*supermarket_sales_new[[#This Row],[Quantity]]*5%</f>
        <v>2843.05</v>
      </c>
      <c r="J886" s="1">
        <f>(supermarket_sales_new[[#This Row],[Unit price]]*supermarket_sales_new[[#This Row],[Quantity]])+supermarket_sales_new[[#This Row],[Tax 5%]]</f>
        <v>59704.05</v>
      </c>
    </row>
    <row r="887" spans="1:10" x14ac:dyDescent="0.35">
      <c r="A887" t="s">
        <v>525</v>
      </c>
      <c r="B887" t="s">
        <v>910</v>
      </c>
      <c r="C887" t="s">
        <v>25</v>
      </c>
      <c r="D887" t="s">
        <v>26</v>
      </c>
      <c r="E887" t="s">
        <v>18</v>
      </c>
      <c r="F887" t="s">
        <v>22</v>
      </c>
      <c r="G887" s="1">
        <v>7328</v>
      </c>
      <c r="H887">
        <v>5</v>
      </c>
      <c r="I887" s="1">
        <f>supermarket_sales_new[[#This Row],[Unit price]]*supermarket_sales_new[[#This Row],[Quantity]]*5%</f>
        <v>1832</v>
      </c>
      <c r="J887" s="1">
        <f>(supermarket_sales_new[[#This Row],[Unit price]]*supermarket_sales_new[[#This Row],[Quantity]])+supermarket_sales_new[[#This Row],[Tax 5%]]</f>
        <v>38472</v>
      </c>
    </row>
    <row r="888" spans="1:10" x14ac:dyDescent="0.35">
      <c r="A888" t="s">
        <v>525</v>
      </c>
      <c r="B888" t="s">
        <v>911</v>
      </c>
      <c r="C888" t="s">
        <v>11</v>
      </c>
      <c r="D888" t="s">
        <v>12</v>
      </c>
      <c r="E888" t="s">
        <v>13</v>
      </c>
      <c r="F888" t="s">
        <v>27</v>
      </c>
      <c r="G888" s="1">
        <v>1885</v>
      </c>
      <c r="H888">
        <v>10</v>
      </c>
      <c r="I888" s="1">
        <f>supermarket_sales_new[[#This Row],[Unit price]]*supermarket_sales_new[[#This Row],[Quantity]]*5%</f>
        <v>942.5</v>
      </c>
      <c r="J888" s="1">
        <f>(supermarket_sales_new[[#This Row],[Unit price]]*supermarket_sales_new[[#This Row],[Quantity]])+supermarket_sales_new[[#This Row],[Tax 5%]]</f>
        <v>19792.5</v>
      </c>
    </row>
    <row r="889" spans="1:10" x14ac:dyDescent="0.35">
      <c r="A889" t="s">
        <v>525</v>
      </c>
      <c r="B889" t="s">
        <v>912</v>
      </c>
      <c r="C889" t="s">
        <v>25</v>
      </c>
      <c r="D889" t="s">
        <v>26</v>
      </c>
      <c r="E889" t="s">
        <v>18</v>
      </c>
      <c r="F889" t="s">
        <v>19</v>
      </c>
      <c r="G889" s="1">
        <v>7213</v>
      </c>
      <c r="H889">
        <v>10</v>
      </c>
      <c r="I889" s="1">
        <f>supermarket_sales_new[[#This Row],[Unit price]]*supermarket_sales_new[[#This Row],[Quantity]]*5%</f>
        <v>3606.5</v>
      </c>
      <c r="J889" s="1">
        <f>(supermarket_sales_new[[#This Row],[Unit price]]*supermarket_sales_new[[#This Row],[Quantity]])+supermarket_sales_new[[#This Row],[Tax 5%]]</f>
        <v>75736.5</v>
      </c>
    </row>
    <row r="890" spans="1:10" x14ac:dyDescent="0.35">
      <c r="A890" t="s">
        <v>525</v>
      </c>
      <c r="B890" t="s">
        <v>913</v>
      </c>
      <c r="C890" t="s">
        <v>11</v>
      </c>
      <c r="D890" t="s">
        <v>12</v>
      </c>
      <c r="E890" t="s">
        <v>13</v>
      </c>
      <c r="F890" t="s">
        <v>14</v>
      </c>
      <c r="G890" s="1">
        <v>555</v>
      </c>
      <c r="H890">
        <v>4</v>
      </c>
      <c r="I890" s="1">
        <f>supermarket_sales_new[[#This Row],[Unit price]]*supermarket_sales_new[[#This Row],[Quantity]]*5%</f>
        <v>111</v>
      </c>
      <c r="J890" s="1">
        <f>(supermarket_sales_new[[#This Row],[Unit price]]*supermarket_sales_new[[#This Row],[Quantity]])+supermarket_sales_new[[#This Row],[Tax 5%]]</f>
        <v>2331</v>
      </c>
    </row>
    <row r="891" spans="1:10" x14ac:dyDescent="0.35">
      <c r="A891" t="s">
        <v>525</v>
      </c>
      <c r="B891" t="s">
        <v>914</v>
      </c>
      <c r="C891" t="s">
        <v>25</v>
      </c>
      <c r="D891" t="s">
        <v>26</v>
      </c>
      <c r="E891" t="s">
        <v>18</v>
      </c>
      <c r="F891" t="s">
        <v>33</v>
      </c>
      <c r="G891" s="1">
        <v>1369</v>
      </c>
      <c r="H891">
        <v>6</v>
      </c>
      <c r="I891" s="1">
        <f>supermarket_sales_new[[#This Row],[Unit price]]*supermarket_sales_new[[#This Row],[Quantity]]*5%</f>
        <v>410.70000000000005</v>
      </c>
      <c r="J891" s="1">
        <f>(supermarket_sales_new[[#This Row],[Unit price]]*supermarket_sales_new[[#This Row],[Quantity]])+supermarket_sales_new[[#This Row],[Tax 5%]]</f>
        <v>8624.7000000000007</v>
      </c>
    </row>
    <row r="892" spans="1:10" x14ac:dyDescent="0.35">
      <c r="A892" t="s">
        <v>525</v>
      </c>
      <c r="B892" t="s">
        <v>915</v>
      </c>
      <c r="C892" t="s">
        <v>16</v>
      </c>
      <c r="D892" t="s">
        <v>17</v>
      </c>
      <c r="E892" t="s">
        <v>13</v>
      </c>
      <c r="F892" t="s">
        <v>27</v>
      </c>
      <c r="G892" s="1">
        <v>6565</v>
      </c>
      <c r="H892">
        <v>2</v>
      </c>
      <c r="I892" s="1">
        <f>supermarket_sales_new[[#This Row],[Unit price]]*supermarket_sales_new[[#This Row],[Quantity]]*5%</f>
        <v>656.5</v>
      </c>
      <c r="J892" s="1">
        <f>(supermarket_sales_new[[#This Row],[Unit price]]*supermarket_sales_new[[#This Row],[Quantity]])+supermarket_sales_new[[#This Row],[Tax 5%]]</f>
        <v>13786.5</v>
      </c>
    </row>
    <row r="893" spans="1:10" x14ac:dyDescent="0.35">
      <c r="A893" t="s">
        <v>525</v>
      </c>
      <c r="B893" t="s">
        <v>916</v>
      </c>
      <c r="C893" t="s">
        <v>16</v>
      </c>
      <c r="D893" t="s">
        <v>17</v>
      </c>
      <c r="E893" t="s">
        <v>13</v>
      </c>
      <c r="F893" t="s">
        <v>14</v>
      </c>
      <c r="G893" s="1">
        <v>6531</v>
      </c>
      <c r="H893">
        <v>7</v>
      </c>
      <c r="I893" s="1">
        <f>supermarket_sales_new[[#This Row],[Unit price]]*supermarket_sales_new[[#This Row],[Quantity]]*5%</f>
        <v>2285.85</v>
      </c>
      <c r="J893" s="1">
        <f>(supermarket_sales_new[[#This Row],[Unit price]]*supermarket_sales_new[[#This Row],[Quantity]])+supermarket_sales_new[[#This Row],[Tax 5%]]</f>
        <v>48002.85</v>
      </c>
    </row>
    <row r="894" spans="1:10" x14ac:dyDescent="0.35">
      <c r="A894" t="s">
        <v>525</v>
      </c>
      <c r="B894" t="s">
        <v>917</v>
      </c>
      <c r="C894" t="s">
        <v>25</v>
      </c>
      <c r="D894" t="s">
        <v>26</v>
      </c>
      <c r="E894" t="s">
        <v>18</v>
      </c>
      <c r="F894" t="s">
        <v>33</v>
      </c>
      <c r="G894" s="1">
        <v>9338</v>
      </c>
      <c r="H894">
        <v>1</v>
      </c>
      <c r="I894" s="1">
        <f>supermarket_sales_new[[#This Row],[Unit price]]*supermarket_sales_new[[#This Row],[Quantity]]*5%</f>
        <v>466.90000000000003</v>
      </c>
      <c r="J894" s="1">
        <f>(supermarket_sales_new[[#This Row],[Unit price]]*supermarket_sales_new[[#This Row],[Quantity]])+supermarket_sales_new[[#This Row],[Tax 5%]]</f>
        <v>9804.9</v>
      </c>
    </row>
    <row r="895" spans="1:10" x14ac:dyDescent="0.35">
      <c r="A895" t="s">
        <v>525</v>
      </c>
      <c r="B895" t="s">
        <v>918</v>
      </c>
      <c r="C895" t="s">
        <v>16</v>
      </c>
      <c r="D895" t="s">
        <v>17</v>
      </c>
      <c r="E895" t="s">
        <v>13</v>
      </c>
      <c r="F895" t="s">
        <v>33</v>
      </c>
      <c r="G895" s="1">
        <v>2525</v>
      </c>
      <c r="H895">
        <v>5</v>
      </c>
      <c r="I895" s="1">
        <f>supermarket_sales_new[[#This Row],[Unit price]]*supermarket_sales_new[[#This Row],[Quantity]]*5%</f>
        <v>631.25</v>
      </c>
      <c r="J895" s="1">
        <f>(supermarket_sales_new[[#This Row],[Unit price]]*supermarket_sales_new[[#This Row],[Quantity]])+supermarket_sales_new[[#This Row],[Tax 5%]]</f>
        <v>13256.25</v>
      </c>
    </row>
    <row r="896" spans="1:10" x14ac:dyDescent="0.35">
      <c r="A896" t="s">
        <v>525</v>
      </c>
      <c r="B896" t="s">
        <v>919</v>
      </c>
      <c r="C896" t="s">
        <v>25</v>
      </c>
      <c r="D896" t="s">
        <v>26</v>
      </c>
      <c r="E896" t="s">
        <v>13</v>
      </c>
      <c r="F896" t="s">
        <v>19</v>
      </c>
      <c r="G896" s="1">
        <v>8787</v>
      </c>
      <c r="H896">
        <v>9</v>
      </c>
      <c r="I896" s="1">
        <f>supermarket_sales_new[[#This Row],[Unit price]]*supermarket_sales_new[[#This Row],[Quantity]]*5%</f>
        <v>3954.15</v>
      </c>
      <c r="J896" s="1">
        <f>(supermarket_sales_new[[#This Row],[Unit price]]*supermarket_sales_new[[#This Row],[Quantity]])+supermarket_sales_new[[#This Row],[Tax 5%]]</f>
        <v>83037.149999999994</v>
      </c>
    </row>
    <row r="897" spans="1:10" x14ac:dyDescent="0.35">
      <c r="A897" t="s">
        <v>525</v>
      </c>
      <c r="B897" t="s">
        <v>920</v>
      </c>
      <c r="C897" t="s">
        <v>16</v>
      </c>
      <c r="D897" t="s">
        <v>17</v>
      </c>
      <c r="E897" t="s">
        <v>18</v>
      </c>
      <c r="F897" t="s">
        <v>14</v>
      </c>
      <c r="G897" s="1">
        <v>218</v>
      </c>
      <c r="H897">
        <v>8</v>
      </c>
      <c r="I897" s="1">
        <f>supermarket_sales_new[[#This Row],[Unit price]]*supermarket_sales_new[[#This Row],[Quantity]]*5%</f>
        <v>87.2</v>
      </c>
      <c r="J897" s="1">
        <f>(supermarket_sales_new[[#This Row],[Unit price]]*supermarket_sales_new[[#This Row],[Quantity]])+supermarket_sales_new[[#This Row],[Tax 5%]]</f>
        <v>1831.2</v>
      </c>
    </row>
    <row r="898" spans="1:10" x14ac:dyDescent="0.35">
      <c r="A898" t="s">
        <v>525</v>
      </c>
      <c r="B898" t="s">
        <v>921</v>
      </c>
      <c r="C898" t="s">
        <v>11</v>
      </c>
      <c r="D898" t="s">
        <v>12</v>
      </c>
      <c r="E898" t="s">
        <v>18</v>
      </c>
      <c r="F898" t="s">
        <v>19</v>
      </c>
      <c r="G898" s="1">
        <v>7458</v>
      </c>
      <c r="H898">
        <v>7</v>
      </c>
      <c r="I898" s="1">
        <f>supermarket_sales_new[[#This Row],[Unit price]]*supermarket_sales_new[[#This Row],[Quantity]]*5%</f>
        <v>2610.3000000000002</v>
      </c>
      <c r="J898" s="1">
        <f>(supermarket_sales_new[[#This Row],[Unit price]]*supermarket_sales_new[[#This Row],[Quantity]])+supermarket_sales_new[[#This Row],[Tax 5%]]</f>
        <v>54816.3</v>
      </c>
    </row>
    <row r="899" spans="1:10" x14ac:dyDescent="0.35">
      <c r="A899" t="s">
        <v>525</v>
      </c>
      <c r="B899" t="s">
        <v>922</v>
      </c>
      <c r="C899" t="s">
        <v>16</v>
      </c>
      <c r="D899" t="s">
        <v>17</v>
      </c>
      <c r="E899" t="s">
        <v>18</v>
      </c>
      <c r="F899" t="s">
        <v>19</v>
      </c>
      <c r="G899" s="1">
        <v>7189</v>
      </c>
      <c r="H899">
        <v>8</v>
      </c>
      <c r="I899" s="1">
        <f>supermarket_sales_new[[#This Row],[Unit price]]*supermarket_sales_new[[#This Row],[Quantity]]*5%</f>
        <v>2875.6000000000004</v>
      </c>
      <c r="J899" s="1">
        <f>(supermarket_sales_new[[#This Row],[Unit price]]*supermarket_sales_new[[#This Row],[Quantity]])+supermarket_sales_new[[#This Row],[Tax 5%]]</f>
        <v>60387.6</v>
      </c>
    </row>
    <row r="900" spans="1:10" x14ac:dyDescent="0.35">
      <c r="A900" t="s">
        <v>525</v>
      </c>
      <c r="B900" t="s">
        <v>923</v>
      </c>
      <c r="C900" t="s">
        <v>16</v>
      </c>
      <c r="D900" t="s">
        <v>17</v>
      </c>
      <c r="E900" t="s">
        <v>13</v>
      </c>
      <c r="F900" t="s">
        <v>14</v>
      </c>
      <c r="G900" s="1">
        <v>6047</v>
      </c>
      <c r="H900">
        <v>3</v>
      </c>
      <c r="I900" s="1">
        <f>supermarket_sales_new[[#This Row],[Unit price]]*supermarket_sales_new[[#This Row],[Quantity]]*5%</f>
        <v>907.05000000000007</v>
      </c>
      <c r="J900" s="1">
        <f>(supermarket_sales_new[[#This Row],[Unit price]]*supermarket_sales_new[[#This Row],[Quantity]])+supermarket_sales_new[[#This Row],[Tax 5%]]</f>
        <v>19048.05</v>
      </c>
    </row>
    <row r="901" spans="1:10" x14ac:dyDescent="0.35">
      <c r="A901" t="s">
        <v>525</v>
      </c>
      <c r="B901" t="s">
        <v>924</v>
      </c>
      <c r="C901" t="s">
        <v>11</v>
      </c>
      <c r="D901" t="s">
        <v>12</v>
      </c>
      <c r="E901" t="s">
        <v>18</v>
      </c>
      <c r="F901" t="s">
        <v>33</v>
      </c>
      <c r="G901" s="1">
        <v>5891</v>
      </c>
      <c r="H901">
        <v>7</v>
      </c>
      <c r="I901" s="1">
        <f>supermarket_sales_new[[#This Row],[Unit price]]*supermarket_sales_new[[#This Row],[Quantity]]*5%</f>
        <v>2061.85</v>
      </c>
      <c r="J901" s="1">
        <f>(supermarket_sales_new[[#This Row],[Unit price]]*supermarket_sales_new[[#This Row],[Quantity]])+supermarket_sales_new[[#This Row],[Tax 5%]]</f>
        <v>43298.85</v>
      </c>
    </row>
    <row r="902" spans="1:10" x14ac:dyDescent="0.35">
      <c r="A902" t="s">
        <v>525</v>
      </c>
      <c r="B902" t="s">
        <v>925</v>
      </c>
      <c r="C902" t="s">
        <v>11</v>
      </c>
      <c r="D902" t="s">
        <v>12</v>
      </c>
      <c r="E902" t="s">
        <v>18</v>
      </c>
      <c r="F902" t="s">
        <v>29</v>
      </c>
      <c r="G902" s="1">
        <v>4641</v>
      </c>
      <c r="H902">
        <v>1</v>
      </c>
      <c r="I902" s="1">
        <f>supermarket_sales_new[[#This Row],[Unit price]]*supermarket_sales_new[[#This Row],[Quantity]]*5%</f>
        <v>232.05</v>
      </c>
      <c r="J902" s="1">
        <f>(supermarket_sales_new[[#This Row],[Unit price]]*supermarket_sales_new[[#This Row],[Quantity]])+supermarket_sales_new[[#This Row],[Tax 5%]]</f>
        <v>4873.05</v>
      </c>
    </row>
    <row r="903" spans="1:10" x14ac:dyDescent="0.35">
      <c r="A903" t="s">
        <v>525</v>
      </c>
      <c r="B903" t="s">
        <v>926</v>
      </c>
      <c r="C903" t="s">
        <v>16</v>
      </c>
      <c r="D903" t="s">
        <v>17</v>
      </c>
      <c r="E903" t="s">
        <v>13</v>
      </c>
      <c r="F903" t="s">
        <v>14</v>
      </c>
      <c r="G903" s="1">
        <v>6855</v>
      </c>
      <c r="H903">
        <v>4</v>
      </c>
      <c r="I903" s="1">
        <f>supermarket_sales_new[[#This Row],[Unit price]]*supermarket_sales_new[[#This Row],[Quantity]]*5%</f>
        <v>1371</v>
      </c>
      <c r="J903" s="1">
        <f>(supermarket_sales_new[[#This Row],[Unit price]]*supermarket_sales_new[[#This Row],[Quantity]])+supermarket_sales_new[[#This Row],[Tax 5%]]</f>
        <v>28791</v>
      </c>
    </row>
    <row r="904" spans="1:10" x14ac:dyDescent="0.35">
      <c r="A904" t="s">
        <v>525</v>
      </c>
      <c r="B904" t="s">
        <v>927</v>
      </c>
      <c r="C904" t="s">
        <v>11</v>
      </c>
      <c r="D904" t="s">
        <v>12</v>
      </c>
      <c r="E904" t="s">
        <v>13</v>
      </c>
      <c r="F904" t="s">
        <v>19</v>
      </c>
      <c r="G904" s="1">
        <v>926</v>
      </c>
      <c r="H904">
        <v>7</v>
      </c>
      <c r="I904" s="1">
        <f>supermarket_sales_new[[#This Row],[Unit price]]*supermarket_sales_new[[#This Row],[Quantity]]*5%</f>
        <v>324.10000000000002</v>
      </c>
      <c r="J904" s="1">
        <f>(supermarket_sales_new[[#This Row],[Unit price]]*supermarket_sales_new[[#This Row],[Quantity]])+supermarket_sales_new[[#This Row],[Tax 5%]]</f>
        <v>6806.1</v>
      </c>
    </row>
    <row r="905" spans="1:10" x14ac:dyDescent="0.35">
      <c r="A905" t="s">
        <v>525</v>
      </c>
      <c r="B905" t="s">
        <v>928</v>
      </c>
      <c r="C905" t="s">
        <v>25</v>
      </c>
      <c r="D905" t="s">
        <v>26</v>
      </c>
      <c r="E905" t="s">
        <v>18</v>
      </c>
      <c r="F905" t="s">
        <v>29</v>
      </c>
      <c r="G905" s="1">
        <v>2718</v>
      </c>
      <c r="H905">
        <v>2</v>
      </c>
      <c r="I905" s="1">
        <f>supermarket_sales_new[[#This Row],[Unit price]]*supermarket_sales_new[[#This Row],[Quantity]]*5%</f>
        <v>271.8</v>
      </c>
      <c r="J905" s="1">
        <f>(supermarket_sales_new[[#This Row],[Unit price]]*supermarket_sales_new[[#This Row],[Quantity]])+supermarket_sales_new[[#This Row],[Tax 5%]]</f>
        <v>5707.8</v>
      </c>
    </row>
    <row r="906" spans="1:10" x14ac:dyDescent="0.35">
      <c r="A906" t="s">
        <v>525</v>
      </c>
      <c r="B906" t="s">
        <v>929</v>
      </c>
      <c r="C906" t="s">
        <v>25</v>
      </c>
      <c r="D906" t="s">
        <v>26</v>
      </c>
      <c r="E906" t="s">
        <v>18</v>
      </c>
      <c r="F906" t="s">
        <v>14</v>
      </c>
      <c r="G906" s="1">
        <v>9278</v>
      </c>
      <c r="H906">
        <v>1</v>
      </c>
      <c r="I906" s="1">
        <f>supermarket_sales_new[[#This Row],[Unit price]]*supermarket_sales_new[[#This Row],[Quantity]]*5%</f>
        <v>463.90000000000003</v>
      </c>
      <c r="J906" s="1">
        <f>(supermarket_sales_new[[#This Row],[Unit price]]*supermarket_sales_new[[#This Row],[Quantity]])+supermarket_sales_new[[#This Row],[Tax 5%]]</f>
        <v>9741.9</v>
      </c>
    </row>
    <row r="907" spans="1:10" x14ac:dyDescent="0.35">
      <c r="A907" t="s">
        <v>525</v>
      </c>
      <c r="B907" t="s">
        <v>930</v>
      </c>
      <c r="C907" t="s">
        <v>16</v>
      </c>
      <c r="D907" t="s">
        <v>17</v>
      </c>
      <c r="E907" t="s">
        <v>13</v>
      </c>
      <c r="F907" t="s">
        <v>22</v>
      </c>
      <c r="G907" s="1">
        <v>8669</v>
      </c>
      <c r="H907">
        <v>5</v>
      </c>
      <c r="I907" s="1">
        <f>supermarket_sales_new[[#This Row],[Unit price]]*supermarket_sales_new[[#This Row],[Quantity]]*5%</f>
        <v>2167.25</v>
      </c>
      <c r="J907" s="1">
        <f>(supermarket_sales_new[[#This Row],[Unit price]]*supermarket_sales_new[[#This Row],[Quantity]])+supermarket_sales_new[[#This Row],[Tax 5%]]</f>
        <v>45512.25</v>
      </c>
    </row>
    <row r="908" spans="1:10" x14ac:dyDescent="0.35">
      <c r="A908" t="s">
        <v>525</v>
      </c>
      <c r="B908" t="s">
        <v>931</v>
      </c>
      <c r="C908" t="s">
        <v>25</v>
      </c>
      <c r="D908" t="s">
        <v>26</v>
      </c>
      <c r="E908" t="s">
        <v>18</v>
      </c>
      <c r="F908" t="s">
        <v>33</v>
      </c>
      <c r="G908" s="1">
        <v>2301</v>
      </c>
      <c r="H908">
        <v>6</v>
      </c>
      <c r="I908" s="1">
        <f>supermarket_sales_new[[#This Row],[Unit price]]*supermarket_sales_new[[#This Row],[Quantity]]*5%</f>
        <v>690.30000000000007</v>
      </c>
      <c r="J908" s="1">
        <f>(supermarket_sales_new[[#This Row],[Unit price]]*supermarket_sales_new[[#This Row],[Quantity]])+supermarket_sales_new[[#This Row],[Tax 5%]]</f>
        <v>14496.3</v>
      </c>
    </row>
    <row r="909" spans="1:10" x14ac:dyDescent="0.35">
      <c r="A909" t="s">
        <v>525</v>
      </c>
      <c r="B909" t="s">
        <v>932</v>
      </c>
      <c r="C909" t="s">
        <v>16</v>
      </c>
      <c r="D909" t="s">
        <v>17</v>
      </c>
      <c r="E909" t="s">
        <v>13</v>
      </c>
      <c r="F909" t="s">
        <v>29</v>
      </c>
      <c r="G909" s="1">
        <v>6739</v>
      </c>
      <c r="H909">
        <v>7</v>
      </c>
      <c r="I909" s="1">
        <f>supermarket_sales_new[[#This Row],[Unit price]]*supermarket_sales_new[[#This Row],[Quantity]]*5%</f>
        <v>2358.65</v>
      </c>
      <c r="J909" s="1">
        <f>(supermarket_sales_new[[#This Row],[Unit price]]*supermarket_sales_new[[#This Row],[Quantity]])+supermarket_sales_new[[#This Row],[Tax 5%]]</f>
        <v>49531.65</v>
      </c>
    </row>
    <row r="910" spans="1:10" x14ac:dyDescent="0.35">
      <c r="A910" t="s">
        <v>525</v>
      </c>
      <c r="B910" t="s">
        <v>933</v>
      </c>
      <c r="C910" t="s">
        <v>25</v>
      </c>
      <c r="D910" t="s">
        <v>26</v>
      </c>
      <c r="E910" t="s">
        <v>18</v>
      </c>
      <c r="F910" t="s">
        <v>14</v>
      </c>
      <c r="G910" s="1">
        <v>1075</v>
      </c>
      <c r="H910">
        <v>8</v>
      </c>
      <c r="I910" s="1">
        <f>supermarket_sales_new[[#This Row],[Unit price]]*supermarket_sales_new[[#This Row],[Quantity]]*5%</f>
        <v>430</v>
      </c>
      <c r="J910" s="1">
        <f>(supermarket_sales_new[[#This Row],[Unit price]]*supermarket_sales_new[[#This Row],[Quantity]])+supermarket_sales_new[[#This Row],[Tax 5%]]</f>
        <v>9030</v>
      </c>
    </row>
    <row r="911" spans="1:10" x14ac:dyDescent="0.35">
      <c r="A911" t="s">
        <v>525</v>
      </c>
      <c r="B911" t="s">
        <v>934</v>
      </c>
      <c r="C911" t="s">
        <v>11</v>
      </c>
      <c r="D911" t="s">
        <v>12</v>
      </c>
      <c r="E911" t="s">
        <v>18</v>
      </c>
      <c r="F911" t="s">
        <v>19</v>
      </c>
      <c r="G911" s="1">
        <v>9515</v>
      </c>
      <c r="H911">
        <v>1</v>
      </c>
      <c r="I911" s="1">
        <f>supermarket_sales_new[[#This Row],[Unit price]]*supermarket_sales_new[[#This Row],[Quantity]]*5%</f>
        <v>475.75</v>
      </c>
      <c r="J911" s="1">
        <f>(supermarket_sales_new[[#This Row],[Unit price]]*supermarket_sales_new[[#This Row],[Quantity]])+supermarket_sales_new[[#This Row],[Tax 5%]]</f>
        <v>9990.75</v>
      </c>
    </row>
    <row r="912" spans="1:10" x14ac:dyDescent="0.35">
      <c r="A912" t="s">
        <v>525</v>
      </c>
      <c r="B912" t="s">
        <v>935</v>
      </c>
      <c r="C912" t="s">
        <v>11</v>
      </c>
      <c r="D912" t="s">
        <v>12</v>
      </c>
      <c r="E912" t="s">
        <v>18</v>
      </c>
      <c r="F912" t="s">
        <v>27</v>
      </c>
      <c r="G912" s="1">
        <v>3388</v>
      </c>
      <c r="H912">
        <v>8</v>
      </c>
      <c r="I912" s="1">
        <f>supermarket_sales_new[[#This Row],[Unit price]]*supermarket_sales_new[[#This Row],[Quantity]]*5%</f>
        <v>1355.2</v>
      </c>
      <c r="J912" s="1">
        <f>(supermarket_sales_new[[#This Row],[Unit price]]*supermarket_sales_new[[#This Row],[Quantity]])+supermarket_sales_new[[#This Row],[Tax 5%]]</f>
        <v>28459.200000000001</v>
      </c>
    </row>
    <row r="913" spans="1:10" x14ac:dyDescent="0.35">
      <c r="A913" t="s">
        <v>525</v>
      </c>
      <c r="B913" t="s">
        <v>936</v>
      </c>
      <c r="C913" t="s">
        <v>25</v>
      </c>
      <c r="D913" t="s">
        <v>26</v>
      </c>
      <c r="E913" t="s">
        <v>13</v>
      </c>
      <c r="F913" t="s">
        <v>14</v>
      </c>
      <c r="G913" s="1">
        <v>9616</v>
      </c>
      <c r="H913">
        <v>4</v>
      </c>
      <c r="I913" s="1">
        <f>supermarket_sales_new[[#This Row],[Unit price]]*supermarket_sales_new[[#This Row],[Quantity]]*5%</f>
        <v>1923.2</v>
      </c>
      <c r="J913" s="1">
        <f>(supermarket_sales_new[[#This Row],[Unit price]]*supermarket_sales_new[[#This Row],[Quantity]])+supermarket_sales_new[[#This Row],[Tax 5%]]</f>
        <v>40387.199999999997</v>
      </c>
    </row>
    <row r="914" spans="1:10" x14ac:dyDescent="0.35">
      <c r="A914" t="s">
        <v>525</v>
      </c>
      <c r="B914" t="s">
        <v>937</v>
      </c>
      <c r="C914" t="s">
        <v>25</v>
      </c>
      <c r="D914" t="s">
        <v>26</v>
      </c>
      <c r="E914" t="s">
        <v>13</v>
      </c>
      <c r="F914" t="s">
        <v>27</v>
      </c>
      <c r="G914" s="1">
        <v>4716</v>
      </c>
      <c r="H914">
        <v>5</v>
      </c>
      <c r="I914" s="1">
        <f>supermarket_sales_new[[#This Row],[Unit price]]*supermarket_sales_new[[#This Row],[Quantity]]*5%</f>
        <v>1179</v>
      </c>
      <c r="J914" s="1">
        <f>(supermarket_sales_new[[#This Row],[Unit price]]*supermarket_sales_new[[#This Row],[Quantity]])+supermarket_sales_new[[#This Row],[Tax 5%]]</f>
        <v>24759</v>
      </c>
    </row>
    <row r="915" spans="1:10" x14ac:dyDescent="0.35">
      <c r="A915" t="s">
        <v>525</v>
      </c>
      <c r="B915" t="s">
        <v>938</v>
      </c>
      <c r="C915" t="s">
        <v>25</v>
      </c>
      <c r="D915" t="s">
        <v>26</v>
      </c>
      <c r="E915" t="s">
        <v>18</v>
      </c>
      <c r="F915" t="s">
        <v>19</v>
      </c>
      <c r="G915" s="1">
        <v>5289</v>
      </c>
      <c r="H915">
        <v>4</v>
      </c>
      <c r="I915" s="1">
        <f>supermarket_sales_new[[#This Row],[Unit price]]*supermarket_sales_new[[#This Row],[Quantity]]*5%</f>
        <v>1057.8</v>
      </c>
      <c r="J915" s="1">
        <f>(supermarket_sales_new[[#This Row],[Unit price]]*supermarket_sales_new[[#This Row],[Quantity]])+supermarket_sales_new[[#This Row],[Tax 5%]]</f>
        <v>22213.8</v>
      </c>
    </row>
    <row r="916" spans="1:10" x14ac:dyDescent="0.35">
      <c r="A916" t="s">
        <v>525</v>
      </c>
      <c r="B916" t="s">
        <v>939</v>
      </c>
      <c r="C916" t="s">
        <v>16</v>
      </c>
      <c r="D916" t="s">
        <v>17</v>
      </c>
      <c r="E916" t="s">
        <v>13</v>
      </c>
      <c r="F916" t="s">
        <v>33</v>
      </c>
      <c r="G916" s="1">
        <v>1017</v>
      </c>
      <c r="H916">
        <v>1</v>
      </c>
      <c r="I916" s="1">
        <f>supermarket_sales_new[[#This Row],[Unit price]]*supermarket_sales_new[[#This Row],[Quantity]]*5%</f>
        <v>50.85</v>
      </c>
      <c r="J916" s="1">
        <f>(supermarket_sales_new[[#This Row],[Unit price]]*supermarket_sales_new[[#This Row],[Quantity]])+supermarket_sales_new[[#This Row],[Tax 5%]]</f>
        <v>1067.8499999999999</v>
      </c>
    </row>
    <row r="917" spans="1:10" x14ac:dyDescent="0.35">
      <c r="A917" t="s">
        <v>525</v>
      </c>
      <c r="B917" t="s">
        <v>940</v>
      </c>
      <c r="C917" t="s">
        <v>11</v>
      </c>
      <c r="D917" t="s">
        <v>12</v>
      </c>
      <c r="E917" t="s">
        <v>13</v>
      </c>
      <c r="F917" t="s">
        <v>29</v>
      </c>
      <c r="G917" s="1">
        <v>4128</v>
      </c>
      <c r="H917">
        <v>3</v>
      </c>
      <c r="I917" s="1">
        <f>supermarket_sales_new[[#This Row],[Unit price]]*supermarket_sales_new[[#This Row],[Quantity]]*5%</f>
        <v>619.20000000000005</v>
      </c>
      <c r="J917" s="1">
        <f>(supermarket_sales_new[[#This Row],[Unit price]]*supermarket_sales_new[[#This Row],[Quantity]])+supermarket_sales_new[[#This Row],[Tax 5%]]</f>
        <v>13003.2</v>
      </c>
    </row>
    <row r="918" spans="1:10" x14ac:dyDescent="0.35">
      <c r="A918" t="s">
        <v>525</v>
      </c>
      <c r="B918" t="s">
        <v>941</v>
      </c>
      <c r="C918" t="s">
        <v>16</v>
      </c>
      <c r="D918" t="s">
        <v>17</v>
      </c>
      <c r="E918" t="s">
        <v>18</v>
      </c>
      <c r="F918" t="s">
        <v>19</v>
      </c>
      <c r="G918" s="1">
        <v>6495</v>
      </c>
      <c r="H918">
        <v>10</v>
      </c>
      <c r="I918" s="1">
        <f>supermarket_sales_new[[#This Row],[Unit price]]*supermarket_sales_new[[#This Row],[Quantity]]*5%</f>
        <v>3247.5</v>
      </c>
      <c r="J918" s="1">
        <f>(supermarket_sales_new[[#This Row],[Unit price]]*supermarket_sales_new[[#This Row],[Quantity]])+supermarket_sales_new[[#This Row],[Tax 5%]]</f>
        <v>68197.5</v>
      </c>
    </row>
    <row r="919" spans="1:10" x14ac:dyDescent="0.35">
      <c r="A919" t="s">
        <v>525</v>
      </c>
      <c r="B919" t="s">
        <v>942</v>
      </c>
      <c r="C919" t="s">
        <v>11</v>
      </c>
      <c r="D919" t="s">
        <v>12</v>
      </c>
      <c r="E919" t="s">
        <v>18</v>
      </c>
      <c r="F919" t="s">
        <v>19</v>
      </c>
      <c r="G919" s="1">
        <v>1056</v>
      </c>
      <c r="H919">
        <v>8</v>
      </c>
      <c r="I919" s="1">
        <f>supermarket_sales_new[[#This Row],[Unit price]]*supermarket_sales_new[[#This Row],[Quantity]]*5%</f>
        <v>422.40000000000003</v>
      </c>
      <c r="J919" s="1">
        <f>(supermarket_sales_new[[#This Row],[Unit price]]*supermarket_sales_new[[#This Row],[Quantity]])+supermarket_sales_new[[#This Row],[Tax 5%]]</f>
        <v>8870.4</v>
      </c>
    </row>
    <row r="920" spans="1:10" x14ac:dyDescent="0.35">
      <c r="A920" t="s">
        <v>525</v>
      </c>
      <c r="B920" t="s">
        <v>943</v>
      </c>
      <c r="C920" t="s">
        <v>25</v>
      </c>
      <c r="D920" t="s">
        <v>26</v>
      </c>
      <c r="E920" t="s">
        <v>18</v>
      </c>
      <c r="F920" t="s">
        <v>14</v>
      </c>
      <c r="G920" s="1">
        <v>6257</v>
      </c>
      <c r="H920">
        <v>4</v>
      </c>
      <c r="I920" s="1">
        <f>supermarket_sales_new[[#This Row],[Unit price]]*supermarket_sales_new[[#This Row],[Quantity]]*5%</f>
        <v>1251.4000000000001</v>
      </c>
      <c r="J920" s="1">
        <f>(supermarket_sales_new[[#This Row],[Unit price]]*supermarket_sales_new[[#This Row],[Quantity]])+supermarket_sales_new[[#This Row],[Tax 5%]]</f>
        <v>26279.4</v>
      </c>
    </row>
    <row r="921" spans="1:10" x14ac:dyDescent="0.35">
      <c r="A921" t="s">
        <v>525</v>
      </c>
      <c r="B921" t="s">
        <v>944</v>
      </c>
      <c r="C921" t="s">
        <v>11</v>
      </c>
      <c r="D921" t="s">
        <v>12</v>
      </c>
      <c r="E921" t="s">
        <v>13</v>
      </c>
      <c r="F921" t="s">
        <v>14</v>
      </c>
      <c r="G921" s="1">
        <v>913</v>
      </c>
      <c r="H921">
        <v>1</v>
      </c>
      <c r="I921" s="1">
        <f>supermarket_sales_new[[#This Row],[Unit price]]*supermarket_sales_new[[#This Row],[Quantity]]*5%</f>
        <v>45.650000000000006</v>
      </c>
      <c r="J921" s="1">
        <f>(supermarket_sales_new[[#This Row],[Unit price]]*supermarket_sales_new[[#This Row],[Quantity]])+supermarket_sales_new[[#This Row],[Tax 5%]]</f>
        <v>958.65</v>
      </c>
    </row>
    <row r="922" spans="1:10" x14ac:dyDescent="0.35">
      <c r="A922" t="s">
        <v>525</v>
      </c>
      <c r="B922" t="s">
        <v>945</v>
      </c>
      <c r="C922" t="s">
        <v>11</v>
      </c>
      <c r="D922" t="s">
        <v>12</v>
      </c>
      <c r="E922" t="s">
        <v>18</v>
      </c>
      <c r="F922" t="s">
        <v>29</v>
      </c>
      <c r="G922" s="1">
        <v>5238</v>
      </c>
      <c r="H922">
        <v>1</v>
      </c>
      <c r="I922" s="1">
        <f>supermarket_sales_new[[#This Row],[Unit price]]*supermarket_sales_new[[#This Row],[Quantity]]*5%</f>
        <v>261.90000000000003</v>
      </c>
      <c r="J922" s="1">
        <f>(supermarket_sales_new[[#This Row],[Unit price]]*supermarket_sales_new[[#This Row],[Quantity]])+supermarket_sales_new[[#This Row],[Tax 5%]]</f>
        <v>5499.9</v>
      </c>
    </row>
    <row r="923" spans="1:10" x14ac:dyDescent="0.35">
      <c r="A923" t="s">
        <v>525</v>
      </c>
      <c r="B923" t="s">
        <v>946</v>
      </c>
      <c r="C923" t="s">
        <v>11</v>
      </c>
      <c r="D923" t="s">
        <v>12</v>
      </c>
      <c r="E923" t="s">
        <v>13</v>
      </c>
      <c r="F923" t="s">
        <v>29</v>
      </c>
      <c r="G923" s="1">
        <v>3854</v>
      </c>
      <c r="H923">
        <v>5</v>
      </c>
      <c r="I923" s="1">
        <f>supermarket_sales_new[[#This Row],[Unit price]]*supermarket_sales_new[[#This Row],[Quantity]]*5%</f>
        <v>963.5</v>
      </c>
      <c r="J923" s="1">
        <f>(supermarket_sales_new[[#This Row],[Unit price]]*supermarket_sales_new[[#This Row],[Quantity]])+supermarket_sales_new[[#This Row],[Tax 5%]]</f>
        <v>20233.5</v>
      </c>
    </row>
    <row r="924" spans="1:10" x14ac:dyDescent="0.35">
      <c r="A924" t="s">
        <v>525</v>
      </c>
      <c r="B924" t="s">
        <v>947</v>
      </c>
      <c r="C924" t="s">
        <v>25</v>
      </c>
      <c r="D924" t="s">
        <v>26</v>
      </c>
      <c r="E924" t="s">
        <v>18</v>
      </c>
      <c r="F924" t="s">
        <v>33</v>
      </c>
      <c r="G924" s="1">
        <v>4463</v>
      </c>
      <c r="H924">
        <v>6</v>
      </c>
      <c r="I924" s="1">
        <f>supermarket_sales_new[[#This Row],[Unit price]]*supermarket_sales_new[[#This Row],[Quantity]]*5%</f>
        <v>1338.9</v>
      </c>
      <c r="J924" s="1">
        <f>(supermarket_sales_new[[#This Row],[Unit price]]*supermarket_sales_new[[#This Row],[Quantity]])+supermarket_sales_new[[#This Row],[Tax 5%]]</f>
        <v>28116.9</v>
      </c>
    </row>
    <row r="925" spans="1:10" x14ac:dyDescent="0.35">
      <c r="A925" t="s">
        <v>525</v>
      </c>
      <c r="B925" t="s">
        <v>948</v>
      </c>
      <c r="C925" t="s">
        <v>16</v>
      </c>
      <c r="D925" t="s">
        <v>17</v>
      </c>
      <c r="E925" t="s">
        <v>18</v>
      </c>
      <c r="F925" t="s">
        <v>19</v>
      </c>
      <c r="G925" s="1">
        <v>5587</v>
      </c>
      <c r="H925">
        <v>10</v>
      </c>
      <c r="I925" s="1">
        <f>supermarket_sales_new[[#This Row],[Unit price]]*supermarket_sales_new[[#This Row],[Quantity]]*5%</f>
        <v>2793.5</v>
      </c>
      <c r="J925" s="1">
        <f>(supermarket_sales_new[[#This Row],[Unit price]]*supermarket_sales_new[[#This Row],[Quantity]])+supermarket_sales_new[[#This Row],[Tax 5%]]</f>
        <v>58663.5</v>
      </c>
    </row>
    <row r="926" spans="1:10" x14ac:dyDescent="0.35">
      <c r="A926" t="s">
        <v>525</v>
      </c>
      <c r="B926" t="s">
        <v>949</v>
      </c>
      <c r="C926" t="s">
        <v>11</v>
      </c>
      <c r="D926" t="s">
        <v>12</v>
      </c>
      <c r="E926" t="s">
        <v>18</v>
      </c>
      <c r="F926" t="s">
        <v>29</v>
      </c>
      <c r="G926" s="1">
        <v>5194</v>
      </c>
      <c r="H926">
        <v>3</v>
      </c>
      <c r="I926" s="1">
        <f>supermarket_sales_new[[#This Row],[Unit price]]*supermarket_sales_new[[#This Row],[Quantity]]*5%</f>
        <v>779.1</v>
      </c>
      <c r="J926" s="1">
        <f>(supermarket_sales_new[[#This Row],[Unit price]]*supermarket_sales_new[[#This Row],[Quantity]])+supermarket_sales_new[[#This Row],[Tax 5%]]</f>
        <v>16361.1</v>
      </c>
    </row>
    <row r="927" spans="1:10" x14ac:dyDescent="0.35">
      <c r="A927" t="s">
        <v>525</v>
      </c>
      <c r="B927" t="s">
        <v>950</v>
      </c>
      <c r="C927" t="s">
        <v>25</v>
      </c>
      <c r="D927" t="s">
        <v>26</v>
      </c>
      <c r="E927" t="s">
        <v>18</v>
      </c>
      <c r="F927" t="s">
        <v>19</v>
      </c>
      <c r="G927" s="1">
        <v>603</v>
      </c>
      <c r="H927">
        <v>1</v>
      </c>
      <c r="I927" s="1">
        <f>supermarket_sales_new[[#This Row],[Unit price]]*supermarket_sales_new[[#This Row],[Quantity]]*5%</f>
        <v>30.150000000000002</v>
      </c>
      <c r="J927" s="1">
        <f>(supermarket_sales_new[[#This Row],[Unit price]]*supermarket_sales_new[[#This Row],[Quantity]])+supermarket_sales_new[[#This Row],[Tax 5%]]</f>
        <v>633.15</v>
      </c>
    </row>
    <row r="928" spans="1:10" x14ac:dyDescent="0.35">
      <c r="A928" t="s">
        <v>525</v>
      </c>
      <c r="B928" t="s">
        <v>951</v>
      </c>
      <c r="C928" t="s">
        <v>11</v>
      </c>
      <c r="D928" t="s">
        <v>12</v>
      </c>
      <c r="E928" t="s">
        <v>18</v>
      </c>
      <c r="F928" t="s">
        <v>29</v>
      </c>
      <c r="G928" s="1">
        <v>2132</v>
      </c>
      <c r="H928">
        <v>1</v>
      </c>
      <c r="I928" s="1">
        <f>supermarket_sales_new[[#This Row],[Unit price]]*supermarket_sales_new[[#This Row],[Quantity]]*5%</f>
        <v>106.60000000000001</v>
      </c>
      <c r="J928" s="1">
        <f>(supermarket_sales_new[[#This Row],[Unit price]]*supermarket_sales_new[[#This Row],[Quantity]])+supermarket_sales_new[[#This Row],[Tax 5%]]</f>
        <v>2238.6</v>
      </c>
    </row>
    <row r="929" spans="1:10" x14ac:dyDescent="0.35">
      <c r="A929" t="s">
        <v>525</v>
      </c>
      <c r="B929" t="s">
        <v>952</v>
      </c>
      <c r="C929" t="s">
        <v>11</v>
      </c>
      <c r="D929" t="s">
        <v>12</v>
      </c>
      <c r="E929" t="s">
        <v>13</v>
      </c>
      <c r="F929" t="s">
        <v>19</v>
      </c>
      <c r="G929" s="1">
        <v>9378</v>
      </c>
      <c r="H929">
        <v>3</v>
      </c>
      <c r="I929" s="1">
        <f>supermarket_sales_new[[#This Row],[Unit price]]*supermarket_sales_new[[#This Row],[Quantity]]*5%</f>
        <v>1406.7</v>
      </c>
      <c r="J929" s="1">
        <f>(supermarket_sales_new[[#This Row],[Unit price]]*supermarket_sales_new[[#This Row],[Quantity]])+supermarket_sales_new[[#This Row],[Tax 5%]]</f>
        <v>29540.7</v>
      </c>
    </row>
    <row r="930" spans="1:10" x14ac:dyDescent="0.35">
      <c r="A930" t="s">
        <v>525</v>
      </c>
      <c r="B930" t="s">
        <v>953</v>
      </c>
      <c r="C930" t="s">
        <v>11</v>
      </c>
      <c r="D930" t="s">
        <v>12</v>
      </c>
      <c r="E930" t="s">
        <v>13</v>
      </c>
      <c r="F930" t="s">
        <v>19</v>
      </c>
      <c r="G930" s="1">
        <v>7326</v>
      </c>
      <c r="H930">
        <v>1</v>
      </c>
      <c r="I930" s="1">
        <f>supermarket_sales_new[[#This Row],[Unit price]]*supermarket_sales_new[[#This Row],[Quantity]]*5%</f>
        <v>366.3</v>
      </c>
      <c r="J930" s="1">
        <f>(supermarket_sales_new[[#This Row],[Unit price]]*supermarket_sales_new[[#This Row],[Quantity]])+supermarket_sales_new[[#This Row],[Tax 5%]]</f>
        <v>7692.3</v>
      </c>
    </row>
    <row r="931" spans="1:10" x14ac:dyDescent="0.35">
      <c r="A931" t="s">
        <v>525</v>
      </c>
      <c r="B931" t="s">
        <v>954</v>
      </c>
      <c r="C931" t="s">
        <v>11</v>
      </c>
      <c r="D931" t="s">
        <v>12</v>
      </c>
      <c r="E931" t="s">
        <v>18</v>
      </c>
      <c r="F931" t="s">
        <v>29</v>
      </c>
      <c r="G931" s="1">
        <v>741</v>
      </c>
      <c r="H931">
        <v>1</v>
      </c>
      <c r="I931" s="1">
        <f>supermarket_sales_new[[#This Row],[Unit price]]*supermarket_sales_new[[#This Row],[Quantity]]*5%</f>
        <v>37.050000000000004</v>
      </c>
      <c r="J931" s="1">
        <f>(supermarket_sales_new[[#This Row],[Unit price]]*supermarket_sales_new[[#This Row],[Quantity]])+supermarket_sales_new[[#This Row],[Tax 5%]]</f>
        <v>778.05</v>
      </c>
    </row>
    <row r="932" spans="1:10" x14ac:dyDescent="0.35">
      <c r="A932" t="s">
        <v>525</v>
      </c>
      <c r="B932" t="s">
        <v>955</v>
      </c>
      <c r="C932" t="s">
        <v>16</v>
      </c>
      <c r="D932" t="s">
        <v>17</v>
      </c>
      <c r="E932" t="s">
        <v>18</v>
      </c>
      <c r="F932" t="s">
        <v>14</v>
      </c>
      <c r="G932" s="1">
        <v>5319</v>
      </c>
      <c r="H932">
        <v>7</v>
      </c>
      <c r="I932" s="1">
        <f>supermarket_sales_new[[#This Row],[Unit price]]*supermarket_sales_new[[#This Row],[Quantity]]*5%</f>
        <v>1861.65</v>
      </c>
      <c r="J932" s="1">
        <f>(supermarket_sales_new[[#This Row],[Unit price]]*supermarket_sales_new[[#This Row],[Quantity]])+supermarket_sales_new[[#This Row],[Tax 5%]]</f>
        <v>39094.65</v>
      </c>
    </row>
    <row r="933" spans="1:10" x14ac:dyDescent="0.35">
      <c r="A933" t="s">
        <v>525</v>
      </c>
      <c r="B933" t="s">
        <v>956</v>
      </c>
      <c r="C933" t="s">
        <v>25</v>
      </c>
      <c r="D933" t="s">
        <v>26</v>
      </c>
      <c r="E933" t="s">
        <v>18</v>
      </c>
      <c r="F933" t="s">
        <v>27</v>
      </c>
      <c r="G933" s="1">
        <v>2112</v>
      </c>
      <c r="H933">
        <v>8</v>
      </c>
      <c r="I933" s="1">
        <f>supermarket_sales_new[[#This Row],[Unit price]]*supermarket_sales_new[[#This Row],[Quantity]]*5%</f>
        <v>844.80000000000007</v>
      </c>
      <c r="J933" s="1">
        <f>(supermarket_sales_new[[#This Row],[Unit price]]*supermarket_sales_new[[#This Row],[Quantity]])+supermarket_sales_new[[#This Row],[Tax 5%]]</f>
        <v>17740.8</v>
      </c>
    </row>
    <row r="934" spans="1:10" x14ac:dyDescent="0.35">
      <c r="A934" t="s">
        <v>525</v>
      </c>
      <c r="B934" t="s">
        <v>957</v>
      </c>
      <c r="C934" t="s">
        <v>25</v>
      </c>
      <c r="D934" t="s">
        <v>26</v>
      </c>
      <c r="E934" t="s">
        <v>18</v>
      </c>
      <c r="F934" t="s">
        <v>14</v>
      </c>
      <c r="G934" s="1">
        <v>5759</v>
      </c>
      <c r="H934">
        <v>6</v>
      </c>
      <c r="I934" s="1">
        <f>supermarket_sales_new[[#This Row],[Unit price]]*supermarket_sales_new[[#This Row],[Quantity]]*5%</f>
        <v>1727.7</v>
      </c>
      <c r="J934" s="1">
        <f>(supermarket_sales_new[[#This Row],[Unit price]]*supermarket_sales_new[[#This Row],[Quantity]])+supermarket_sales_new[[#This Row],[Tax 5%]]</f>
        <v>36281.699999999997</v>
      </c>
    </row>
    <row r="935" spans="1:10" x14ac:dyDescent="0.35">
      <c r="A935" t="s">
        <v>525</v>
      </c>
      <c r="B935" t="s">
        <v>958</v>
      </c>
      <c r="C935" t="s">
        <v>11</v>
      </c>
      <c r="D935" t="s">
        <v>12</v>
      </c>
      <c r="E935" t="s">
        <v>13</v>
      </c>
      <c r="F935" t="s">
        <v>33</v>
      </c>
      <c r="G935" s="1">
        <v>1276</v>
      </c>
      <c r="H935">
        <v>2</v>
      </c>
      <c r="I935" s="1">
        <f>supermarket_sales_new[[#This Row],[Unit price]]*supermarket_sales_new[[#This Row],[Quantity]]*5%</f>
        <v>127.60000000000001</v>
      </c>
      <c r="J935" s="1">
        <f>(supermarket_sales_new[[#This Row],[Unit price]]*supermarket_sales_new[[#This Row],[Quantity]])+supermarket_sales_new[[#This Row],[Tax 5%]]</f>
        <v>2679.6</v>
      </c>
    </row>
    <row r="936" spans="1:10" x14ac:dyDescent="0.35">
      <c r="A936" t="s">
        <v>525</v>
      </c>
      <c r="B936" t="s">
        <v>959</v>
      </c>
      <c r="C936" t="s">
        <v>16</v>
      </c>
      <c r="D936" t="s">
        <v>17</v>
      </c>
      <c r="E936" t="s">
        <v>13</v>
      </c>
      <c r="F936" t="s">
        <v>14</v>
      </c>
      <c r="G936" s="1">
        <v>3381</v>
      </c>
      <c r="H936">
        <v>3</v>
      </c>
      <c r="I936" s="1">
        <f>supermarket_sales_new[[#This Row],[Unit price]]*supermarket_sales_new[[#This Row],[Quantity]]*5%</f>
        <v>507.15000000000003</v>
      </c>
      <c r="J936" s="1">
        <f>(supermarket_sales_new[[#This Row],[Unit price]]*supermarket_sales_new[[#This Row],[Quantity]])+supermarket_sales_new[[#This Row],[Tax 5%]]</f>
        <v>10650.15</v>
      </c>
    </row>
    <row r="937" spans="1:10" x14ac:dyDescent="0.35">
      <c r="A937" t="s">
        <v>525</v>
      </c>
      <c r="B937" t="s">
        <v>960</v>
      </c>
      <c r="C937" t="s">
        <v>25</v>
      </c>
      <c r="D937" t="s">
        <v>26</v>
      </c>
      <c r="E937" t="s">
        <v>13</v>
      </c>
      <c r="F937" t="s">
        <v>33</v>
      </c>
      <c r="G937" s="1">
        <v>9053</v>
      </c>
      <c r="H937">
        <v>8</v>
      </c>
      <c r="I937" s="1">
        <f>supermarket_sales_new[[#This Row],[Unit price]]*supermarket_sales_new[[#This Row],[Quantity]]*5%</f>
        <v>3621.2000000000003</v>
      </c>
      <c r="J937" s="1">
        <f>(supermarket_sales_new[[#This Row],[Unit price]]*supermarket_sales_new[[#This Row],[Quantity]])+supermarket_sales_new[[#This Row],[Tax 5%]]</f>
        <v>76045.2</v>
      </c>
    </row>
    <row r="938" spans="1:10" x14ac:dyDescent="0.35">
      <c r="A938" t="s">
        <v>525</v>
      </c>
      <c r="B938" t="s">
        <v>961</v>
      </c>
      <c r="C938" t="s">
        <v>16</v>
      </c>
      <c r="D938" t="s">
        <v>17</v>
      </c>
      <c r="E938" t="s">
        <v>13</v>
      </c>
      <c r="F938" t="s">
        <v>27</v>
      </c>
      <c r="G938" s="1">
        <v>2431</v>
      </c>
      <c r="H938">
        <v>3</v>
      </c>
      <c r="I938" s="1">
        <f>supermarket_sales_new[[#This Row],[Unit price]]*supermarket_sales_new[[#This Row],[Quantity]]*5%</f>
        <v>364.65000000000003</v>
      </c>
      <c r="J938" s="1">
        <f>(supermarket_sales_new[[#This Row],[Unit price]]*supermarket_sales_new[[#This Row],[Quantity]])+supermarket_sales_new[[#This Row],[Tax 5%]]</f>
        <v>7657.65</v>
      </c>
    </row>
    <row r="939" spans="1:10" x14ac:dyDescent="0.35">
      <c r="A939" t="s">
        <v>525</v>
      </c>
      <c r="B939" t="s">
        <v>962</v>
      </c>
      <c r="C939" t="s">
        <v>11</v>
      </c>
      <c r="D939" t="s">
        <v>12</v>
      </c>
      <c r="E939" t="s">
        <v>18</v>
      </c>
      <c r="F939" t="s">
        <v>33</v>
      </c>
      <c r="G939" s="1">
        <v>6459</v>
      </c>
      <c r="H939">
        <v>4</v>
      </c>
      <c r="I939" s="1">
        <f>supermarket_sales_new[[#This Row],[Unit price]]*supermarket_sales_new[[#This Row],[Quantity]]*5%</f>
        <v>1291.8000000000002</v>
      </c>
      <c r="J939" s="1">
        <f>(supermarket_sales_new[[#This Row],[Unit price]]*supermarket_sales_new[[#This Row],[Quantity]])+supermarket_sales_new[[#This Row],[Tax 5%]]</f>
        <v>27127.8</v>
      </c>
    </row>
    <row r="940" spans="1:10" x14ac:dyDescent="0.35">
      <c r="A940" t="s">
        <v>525</v>
      </c>
      <c r="B940" t="s">
        <v>963</v>
      </c>
      <c r="C940" t="s">
        <v>11</v>
      </c>
      <c r="D940" t="s">
        <v>12</v>
      </c>
      <c r="E940" t="s">
        <v>13</v>
      </c>
      <c r="F940" t="s">
        <v>27</v>
      </c>
      <c r="G940" s="1">
        <v>2482</v>
      </c>
      <c r="H940">
        <v>7</v>
      </c>
      <c r="I940" s="1">
        <f>supermarket_sales_new[[#This Row],[Unit price]]*supermarket_sales_new[[#This Row],[Quantity]]*5%</f>
        <v>868.7</v>
      </c>
      <c r="J940" s="1">
        <f>(supermarket_sales_new[[#This Row],[Unit price]]*supermarket_sales_new[[#This Row],[Quantity]])+supermarket_sales_new[[#This Row],[Tax 5%]]</f>
        <v>18242.7</v>
      </c>
    </row>
    <row r="941" spans="1:10" x14ac:dyDescent="0.35">
      <c r="A941" t="s">
        <v>525</v>
      </c>
      <c r="B941" t="s">
        <v>964</v>
      </c>
      <c r="C941" t="s">
        <v>16</v>
      </c>
      <c r="D941" t="s">
        <v>17</v>
      </c>
      <c r="E941" t="s">
        <v>18</v>
      </c>
      <c r="F941" t="s">
        <v>29</v>
      </c>
      <c r="G941" s="1">
        <v>565</v>
      </c>
      <c r="H941">
        <v>1</v>
      </c>
      <c r="I941" s="1">
        <f>supermarket_sales_new[[#This Row],[Unit price]]*supermarket_sales_new[[#This Row],[Quantity]]*5%</f>
        <v>28.25</v>
      </c>
      <c r="J941" s="1">
        <f>(supermarket_sales_new[[#This Row],[Unit price]]*supermarket_sales_new[[#This Row],[Quantity]])+supermarket_sales_new[[#This Row],[Tax 5%]]</f>
        <v>593.25</v>
      </c>
    </row>
    <row r="942" spans="1:10" x14ac:dyDescent="0.35">
      <c r="A942" t="s">
        <v>525</v>
      </c>
      <c r="B942" t="s">
        <v>965</v>
      </c>
      <c r="C942" t="s">
        <v>11</v>
      </c>
      <c r="D942" t="s">
        <v>12</v>
      </c>
      <c r="E942" t="s">
        <v>13</v>
      </c>
      <c r="F942" t="s">
        <v>33</v>
      </c>
      <c r="G942" s="1">
        <v>8906</v>
      </c>
      <c r="H942">
        <v>6</v>
      </c>
      <c r="I942" s="1">
        <f>supermarket_sales_new[[#This Row],[Unit price]]*supermarket_sales_new[[#This Row],[Quantity]]*5%</f>
        <v>2671.8</v>
      </c>
      <c r="J942" s="1">
        <f>(supermarket_sales_new[[#This Row],[Unit price]]*supermarket_sales_new[[#This Row],[Quantity]])+supermarket_sales_new[[#This Row],[Tax 5%]]</f>
        <v>56107.8</v>
      </c>
    </row>
    <row r="943" spans="1:10" x14ac:dyDescent="0.35">
      <c r="A943" t="s">
        <v>525</v>
      </c>
      <c r="B943" t="s">
        <v>966</v>
      </c>
      <c r="C943" t="s">
        <v>11</v>
      </c>
      <c r="D943" t="s">
        <v>12</v>
      </c>
      <c r="E943" t="s">
        <v>13</v>
      </c>
      <c r="F943" t="s">
        <v>22</v>
      </c>
      <c r="G943" s="1">
        <v>2329</v>
      </c>
      <c r="H943">
        <v>4</v>
      </c>
      <c r="I943" s="1">
        <f>supermarket_sales_new[[#This Row],[Unit price]]*supermarket_sales_new[[#This Row],[Quantity]]*5%</f>
        <v>465.8</v>
      </c>
      <c r="J943" s="1">
        <f>(supermarket_sales_new[[#This Row],[Unit price]]*supermarket_sales_new[[#This Row],[Quantity]])+supermarket_sales_new[[#This Row],[Tax 5%]]</f>
        <v>9781.7999999999993</v>
      </c>
    </row>
    <row r="944" spans="1:10" x14ac:dyDescent="0.35">
      <c r="A944" t="s">
        <v>525</v>
      </c>
      <c r="B944" t="s">
        <v>967</v>
      </c>
      <c r="C944" t="s">
        <v>16</v>
      </c>
      <c r="D944" t="s">
        <v>17</v>
      </c>
      <c r="E944" t="s">
        <v>18</v>
      </c>
      <c r="F944" t="s">
        <v>22</v>
      </c>
      <c r="G944" s="1">
        <v>6526</v>
      </c>
      <c r="H944">
        <v>8</v>
      </c>
      <c r="I944" s="1">
        <f>supermarket_sales_new[[#This Row],[Unit price]]*supermarket_sales_new[[#This Row],[Quantity]]*5%</f>
        <v>2610.4</v>
      </c>
      <c r="J944" s="1">
        <f>(supermarket_sales_new[[#This Row],[Unit price]]*supermarket_sales_new[[#This Row],[Quantity]])+supermarket_sales_new[[#This Row],[Tax 5%]]</f>
        <v>54818.400000000001</v>
      </c>
    </row>
    <row r="945" spans="1:10" x14ac:dyDescent="0.35">
      <c r="A945" t="s">
        <v>525</v>
      </c>
      <c r="B945" t="s">
        <v>968</v>
      </c>
      <c r="C945" t="s">
        <v>16</v>
      </c>
      <c r="D945" t="s">
        <v>17</v>
      </c>
      <c r="E945" t="s">
        <v>13</v>
      </c>
      <c r="F945" t="s">
        <v>29</v>
      </c>
      <c r="G945" s="1">
        <v>5235</v>
      </c>
      <c r="H945">
        <v>1</v>
      </c>
      <c r="I945" s="1">
        <f>supermarket_sales_new[[#This Row],[Unit price]]*supermarket_sales_new[[#This Row],[Quantity]]*5%</f>
        <v>261.75</v>
      </c>
      <c r="J945" s="1">
        <f>(supermarket_sales_new[[#This Row],[Unit price]]*supermarket_sales_new[[#This Row],[Quantity]])+supermarket_sales_new[[#This Row],[Tax 5%]]</f>
        <v>5496.75</v>
      </c>
    </row>
    <row r="946" spans="1:10" x14ac:dyDescent="0.35">
      <c r="A946" t="s">
        <v>525</v>
      </c>
      <c r="B946" t="s">
        <v>969</v>
      </c>
      <c r="C946" t="s">
        <v>25</v>
      </c>
      <c r="D946" t="s">
        <v>26</v>
      </c>
      <c r="E946" t="s">
        <v>13</v>
      </c>
      <c r="F946" t="s">
        <v>19</v>
      </c>
      <c r="G946" s="1">
        <v>3975</v>
      </c>
      <c r="H946">
        <v>1</v>
      </c>
      <c r="I946" s="1">
        <f>supermarket_sales_new[[#This Row],[Unit price]]*supermarket_sales_new[[#This Row],[Quantity]]*5%</f>
        <v>198.75</v>
      </c>
      <c r="J946" s="1">
        <f>(supermarket_sales_new[[#This Row],[Unit price]]*supermarket_sales_new[[#This Row],[Quantity]])+supermarket_sales_new[[#This Row],[Tax 5%]]</f>
        <v>4173.75</v>
      </c>
    </row>
    <row r="947" spans="1:10" x14ac:dyDescent="0.35">
      <c r="A947" t="s">
        <v>525</v>
      </c>
      <c r="B947" t="s">
        <v>970</v>
      </c>
      <c r="C947" t="s">
        <v>25</v>
      </c>
      <c r="D947" t="s">
        <v>26</v>
      </c>
      <c r="E947" t="s">
        <v>13</v>
      </c>
      <c r="F947" t="s">
        <v>33</v>
      </c>
      <c r="G947" s="1">
        <v>3199</v>
      </c>
      <c r="H947">
        <v>10</v>
      </c>
      <c r="I947" s="1">
        <f>supermarket_sales_new[[#This Row],[Unit price]]*supermarket_sales_new[[#This Row],[Quantity]]*5%</f>
        <v>1599.5</v>
      </c>
      <c r="J947" s="1">
        <f>(supermarket_sales_new[[#This Row],[Unit price]]*supermarket_sales_new[[#This Row],[Quantity]])+supermarket_sales_new[[#This Row],[Tax 5%]]</f>
        <v>33589.5</v>
      </c>
    </row>
    <row r="948" spans="1:10" x14ac:dyDescent="0.35">
      <c r="A948" t="s">
        <v>525</v>
      </c>
      <c r="B948" t="s">
        <v>971</v>
      </c>
      <c r="C948" t="s">
        <v>11</v>
      </c>
      <c r="D948" t="s">
        <v>12</v>
      </c>
      <c r="E948" t="s">
        <v>18</v>
      </c>
      <c r="F948" t="s">
        <v>33</v>
      </c>
      <c r="G948" s="1">
        <v>4558</v>
      </c>
      <c r="H948">
        <v>7</v>
      </c>
      <c r="I948" s="1">
        <f>supermarket_sales_new[[#This Row],[Unit price]]*supermarket_sales_new[[#This Row],[Quantity]]*5%</f>
        <v>1595.3000000000002</v>
      </c>
      <c r="J948" s="1">
        <f>(supermarket_sales_new[[#This Row],[Unit price]]*supermarket_sales_new[[#This Row],[Quantity]])+supermarket_sales_new[[#This Row],[Tax 5%]]</f>
        <v>33501.300000000003</v>
      </c>
    </row>
    <row r="949" spans="1:10" x14ac:dyDescent="0.35">
      <c r="A949" t="s">
        <v>525</v>
      </c>
      <c r="B949" t="s">
        <v>972</v>
      </c>
      <c r="C949" t="s">
        <v>11</v>
      </c>
      <c r="D949" t="s">
        <v>12</v>
      </c>
      <c r="E949" t="s">
        <v>13</v>
      </c>
      <c r="F949" t="s">
        <v>27</v>
      </c>
      <c r="G949" s="1">
        <v>879</v>
      </c>
      <c r="H949">
        <v>1</v>
      </c>
      <c r="I949" s="1">
        <f>supermarket_sales_new[[#This Row],[Unit price]]*supermarket_sales_new[[#This Row],[Quantity]]*5%</f>
        <v>43.95</v>
      </c>
      <c r="J949" s="1">
        <f>(supermarket_sales_new[[#This Row],[Unit price]]*supermarket_sales_new[[#This Row],[Quantity]])+supermarket_sales_new[[#This Row],[Tax 5%]]</f>
        <v>922.95</v>
      </c>
    </row>
    <row r="950" spans="1:10" x14ac:dyDescent="0.35">
      <c r="A950" t="s">
        <v>525</v>
      </c>
      <c r="B950" t="s">
        <v>973</v>
      </c>
      <c r="C950" t="s">
        <v>11</v>
      </c>
      <c r="D950" t="s">
        <v>12</v>
      </c>
      <c r="E950" t="s">
        <v>13</v>
      </c>
      <c r="F950" t="s">
        <v>33</v>
      </c>
      <c r="G950" s="1">
        <v>7692</v>
      </c>
      <c r="H950">
        <v>10</v>
      </c>
      <c r="I950" s="1">
        <f>supermarket_sales_new[[#This Row],[Unit price]]*supermarket_sales_new[[#This Row],[Quantity]]*5%</f>
        <v>3846</v>
      </c>
      <c r="J950" s="1">
        <f>(supermarket_sales_new[[#This Row],[Unit price]]*supermarket_sales_new[[#This Row],[Quantity]])+supermarket_sales_new[[#This Row],[Tax 5%]]</f>
        <v>80766</v>
      </c>
    </row>
    <row r="951" spans="1:10" x14ac:dyDescent="0.35">
      <c r="A951" t="s">
        <v>525</v>
      </c>
      <c r="B951" t="s">
        <v>974</v>
      </c>
      <c r="C951" t="s">
        <v>25</v>
      </c>
      <c r="D951" t="s">
        <v>26</v>
      </c>
      <c r="E951" t="s">
        <v>18</v>
      </c>
      <c r="F951" t="s">
        <v>19</v>
      </c>
      <c r="G951" s="1">
        <v>2838</v>
      </c>
      <c r="H951">
        <v>5</v>
      </c>
      <c r="I951" s="1">
        <f>supermarket_sales_new[[#This Row],[Unit price]]*supermarket_sales_new[[#This Row],[Quantity]]*5%</f>
        <v>709.5</v>
      </c>
      <c r="J951" s="1">
        <f>(supermarket_sales_new[[#This Row],[Unit price]]*supermarket_sales_new[[#This Row],[Quantity]])+supermarket_sales_new[[#This Row],[Tax 5%]]</f>
        <v>14899.5</v>
      </c>
    </row>
    <row r="952" spans="1:10" x14ac:dyDescent="0.35">
      <c r="A952" t="s">
        <v>525</v>
      </c>
      <c r="B952" t="s">
        <v>975</v>
      </c>
      <c r="C952" t="s">
        <v>25</v>
      </c>
      <c r="D952" t="s">
        <v>26</v>
      </c>
      <c r="E952" t="s">
        <v>13</v>
      </c>
      <c r="F952" t="s">
        <v>19</v>
      </c>
      <c r="G952" s="1">
        <v>5045</v>
      </c>
      <c r="H952">
        <v>6</v>
      </c>
      <c r="I952" s="1">
        <f>supermarket_sales_new[[#This Row],[Unit price]]*supermarket_sales_new[[#This Row],[Quantity]]*5%</f>
        <v>1513.5</v>
      </c>
      <c r="J952" s="1">
        <f>(supermarket_sales_new[[#This Row],[Unit price]]*supermarket_sales_new[[#This Row],[Quantity]])+supermarket_sales_new[[#This Row],[Tax 5%]]</f>
        <v>31783.5</v>
      </c>
    </row>
    <row r="953" spans="1:10" x14ac:dyDescent="0.35">
      <c r="A953" t="s">
        <v>525</v>
      </c>
      <c r="B953" t="s">
        <v>976</v>
      </c>
      <c r="C953" t="s">
        <v>25</v>
      </c>
      <c r="D953" t="s">
        <v>26</v>
      </c>
      <c r="E953" t="s">
        <v>18</v>
      </c>
      <c r="F953" t="s">
        <v>14</v>
      </c>
      <c r="G953" s="1">
        <v>9916</v>
      </c>
      <c r="H953">
        <v>8</v>
      </c>
      <c r="I953" s="1">
        <f>supermarket_sales_new[[#This Row],[Unit price]]*supermarket_sales_new[[#This Row],[Quantity]]*5%</f>
        <v>3966.4</v>
      </c>
      <c r="J953" s="1">
        <f>(supermarket_sales_new[[#This Row],[Unit price]]*supermarket_sales_new[[#This Row],[Quantity]])+supermarket_sales_new[[#This Row],[Tax 5%]]</f>
        <v>83294.399999999994</v>
      </c>
    </row>
    <row r="954" spans="1:10" x14ac:dyDescent="0.35">
      <c r="A954" t="s">
        <v>525</v>
      </c>
      <c r="B954" t="s">
        <v>977</v>
      </c>
      <c r="C954" t="s">
        <v>16</v>
      </c>
      <c r="D954" t="s">
        <v>17</v>
      </c>
      <c r="E954" t="s">
        <v>18</v>
      </c>
      <c r="F954" t="s">
        <v>29</v>
      </c>
      <c r="G954" s="1">
        <v>6074</v>
      </c>
      <c r="H954">
        <v>7</v>
      </c>
      <c r="I954" s="1">
        <f>supermarket_sales_new[[#This Row],[Unit price]]*supermarket_sales_new[[#This Row],[Quantity]]*5%</f>
        <v>2125.9</v>
      </c>
      <c r="J954" s="1">
        <f>(supermarket_sales_new[[#This Row],[Unit price]]*supermarket_sales_new[[#This Row],[Quantity]])+supermarket_sales_new[[#This Row],[Tax 5%]]</f>
        <v>44643.9</v>
      </c>
    </row>
    <row r="955" spans="1:10" x14ac:dyDescent="0.35">
      <c r="A955" t="s">
        <v>525</v>
      </c>
      <c r="B955" t="s">
        <v>978</v>
      </c>
      <c r="C955" t="s">
        <v>16</v>
      </c>
      <c r="D955" t="s">
        <v>17</v>
      </c>
      <c r="E955" t="s">
        <v>13</v>
      </c>
      <c r="F955" t="s">
        <v>14</v>
      </c>
      <c r="G955" s="1">
        <v>856</v>
      </c>
      <c r="H955">
        <v>7</v>
      </c>
      <c r="I955" s="1">
        <f>supermarket_sales_new[[#This Row],[Unit price]]*supermarket_sales_new[[#This Row],[Quantity]]*5%</f>
        <v>299.60000000000002</v>
      </c>
      <c r="J955" s="1">
        <f>(supermarket_sales_new[[#This Row],[Unit price]]*supermarket_sales_new[[#This Row],[Quantity]])+supermarket_sales_new[[#This Row],[Tax 5%]]</f>
        <v>6291.6</v>
      </c>
    </row>
    <row r="956" spans="1:10" x14ac:dyDescent="0.35">
      <c r="A956" t="s">
        <v>525</v>
      </c>
      <c r="B956" t="s">
        <v>979</v>
      </c>
      <c r="C956" t="s">
        <v>11</v>
      </c>
      <c r="D956" t="s">
        <v>12</v>
      </c>
      <c r="E956" t="s">
        <v>13</v>
      </c>
      <c r="F956" t="s">
        <v>27</v>
      </c>
      <c r="G956" s="1">
        <v>3504</v>
      </c>
      <c r="H956">
        <v>9</v>
      </c>
      <c r="I956" s="1">
        <f>supermarket_sales_new[[#This Row],[Unit price]]*supermarket_sales_new[[#This Row],[Quantity]]*5%</f>
        <v>1576.8000000000002</v>
      </c>
      <c r="J956" s="1">
        <f>(supermarket_sales_new[[#This Row],[Unit price]]*supermarket_sales_new[[#This Row],[Quantity]])+supermarket_sales_new[[#This Row],[Tax 5%]]</f>
        <v>33112.800000000003</v>
      </c>
    </row>
    <row r="957" spans="1:10" x14ac:dyDescent="0.35">
      <c r="A957" t="s">
        <v>525</v>
      </c>
      <c r="B957" t="s">
        <v>980</v>
      </c>
      <c r="C957" t="s">
        <v>25</v>
      </c>
      <c r="D957" t="s">
        <v>26</v>
      </c>
      <c r="E957" t="s">
        <v>18</v>
      </c>
      <c r="F957" t="s">
        <v>22</v>
      </c>
      <c r="G957" s="1">
        <v>4597</v>
      </c>
      <c r="H957">
        <v>4</v>
      </c>
      <c r="I957" s="1">
        <f>supermarket_sales_new[[#This Row],[Unit price]]*supermarket_sales_new[[#This Row],[Quantity]]*5%</f>
        <v>919.40000000000009</v>
      </c>
      <c r="J957" s="1">
        <f>(supermarket_sales_new[[#This Row],[Unit price]]*supermarket_sales_new[[#This Row],[Quantity]])+supermarket_sales_new[[#This Row],[Tax 5%]]</f>
        <v>19307.400000000001</v>
      </c>
    </row>
    <row r="958" spans="1:10" x14ac:dyDescent="0.35">
      <c r="A958" t="s">
        <v>525</v>
      </c>
      <c r="B958" t="s">
        <v>981</v>
      </c>
      <c r="C958" t="s">
        <v>11</v>
      </c>
      <c r="D958" t="s">
        <v>12</v>
      </c>
      <c r="E958" t="s">
        <v>18</v>
      </c>
      <c r="F958" t="s">
        <v>27</v>
      </c>
      <c r="G958" s="1">
        <v>1153</v>
      </c>
      <c r="H958">
        <v>7</v>
      </c>
      <c r="I958" s="1">
        <f>supermarket_sales_new[[#This Row],[Unit price]]*supermarket_sales_new[[#This Row],[Quantity]]*5%</f>
        <v>403.55</v>
      </c>
      <c r="J958" s="1">
        <f>(supermarket_sales_new[[#This Row],[Unit price]]*supermarket_sales_new[[#This Row],[Quantity]])+supermarket_sales_new[[#This Row],[Tax 5%]]</f>
        <v>8474.5499999999993</v>
      </c>
    </row>
    <row r="959" spans="1:10" x14ac:dyDescent="0.35">
      <c r="A959" t="s">
        <v>525</v>
      </c>
      <c r="B959" t="s">
        <v>982</v>
      </c>
      <c r="C959" t="s">
        <v>16</v>
      </c>
      <c r="D959" t="s">
        <v>17</v>
      </c>
      <c r="E959" t="s">
        <v>18</v>
      </c>
      <c r="F959" t="s">
        <v>14</v>
      </c>
      <c r="G959" s="1">
        <v>8461</v>
      </c>
      <c r="H959">
        <v>10</v>
      </c>
      <c r="I959" s="1">
        <f>supermarket_sales_new[[#This Row],[Unit price]]*supermarket_sales_new[[#This Row],[Quantity]]*5%</f>
        <v>4230.5</v>
      </c>
      <c r="J959" s="1">
        <f>(supermarket_sales_new[[#This Row],[Unit price]]*supermarket_sales_new[[#This Row],[Quantity]])+supermarket_sales_new[[#This Row],[Tax 5%]]</f>
        <v>88840.5</v>
      </c>
    </row>
    <row r="960" spans="1:10" x14ac:dyDescent="0.35">
      <c r="A960" t="s">
        <v>525</v>
      </c>
      <c r="B960" t="s">
        <v>983</v>
      </c>
      <c r="C960" t="s">
        <v>11</v>
      </c>
      <c r="D960" t="s">
        <v>12</v>
      </c>
      <c r="E960" t="s">
        <v>13</v>
      </c>
      <c r="F960" t="s">
        <v>29</v>
      </c>
      <c r="G960" s="1">
        <v>5134</v>
      </c>
      <c r="H960">
        <v>8</v>
      </c>
      <c r="I960" s="1">
        <f>supermarket_sales_new[[#This Row],[Unit price]]*supermarket_sales_new[[#This Row],[Quantity]]*5%</f>
        <v>2053.6</v>
      </c>
      <c r="J960" s="1">
        <f>(supermarket_sales_new[[#This Row],[Unit price]]*supermarket_sales_new[[#This Row],[Quantity]])+supermarket_sales_new[[#This Row],[Tax 5%]]</f>
        <v>43125.599999999999</v>
      </c>
    </row>
    <row r="961" spans="1:10" x14ac:dyDescent="0.35">
      <c r="A961" t="s">
        <v>525</v>
      </c>
      <c r="B961" t="s">
        <v>984</v>
      </c>
      <c r="C961" t="s">
        <v>16</v>
      </c>
      <c r="D961" t="s">
        <v>17</v>
      </c>
      <c r="E961" t="s">
        <v>13</v>
      </c>
      <c r="F961" t="s">
        <v>33</v>
      </c>
      <c r="G961" s="1">
        <v>4285</v>
      </c>
      <c r="H961">
        <v>1</v>
      </c>
      <c r="I961" s="1">
        <f>supermarket_sales_new[[#This Row],[Unit price]]*supermarket_sales_new[[#This Row],[Quantity]]*5%</f>
        <v>214.25</v>
      </c>
      <c r="J961" s="1">
        <f>(supermarket_sales_new[[#This Row],[Unit price]]*supermarket_sales_new[[#This Row],[Quantity]])+supermarket_sales_new[[#This Row],[Tax 5%]]</f>
        <v>4499.25</v>
      </c>
    </row>
    <row r="962" spans="1:10" x14ac:dyDescent="0.35">
      <c r="A962" t="s">
        <v>525</v>
      </c>
      <c r="B962" t="s">
        <v>985</v>
      </c>
      <c r="C962" t="s">
        <v>25</v>
      </c>
      <c r="D962" t="s">
        <v>26</v>
      </c>
      <c r="E962" t="s">
        <v>18</v>
      </c>
      <c r="F962" t="s">
        <v>22</v>
      </c>
      <c r="G962" s="1">
        <v>6897</v>
      </c>
      <c r="H962">
        <v>3</v>
      </c>
      <c r="I962" s="1">
        <f>supermarket_sales_new[[#This Row],[Unit price]]*supermarket_sales_new[[#This Row],[Quantity]]*5%</f>
        <v>1034.55</v>
      </c>
      <c r="J962" s="1">
        <f>(supermarket_sales_new[[#This Row],[Unit price]]*supermarket_sales_new[[#This Row],[Quantity]])+supermarket_sales_new[[#This Row],[Tax 5%]]</f>
        <v>21725.55</v>
      </c>
    </row>
    <row r="963" spans="1:10" x14ac:dyDescent="0.35">
      <c r="A963" t="s">
        <v>525</v>
      </c>
      <c r="B963" t="s">
        <v>986</v>
      </c>
      <c r="C963" t="s">
        <v>25</v>
      </c>
      <c r="D963" t="s">
        <v>26</v>
      </c>
      <c r="E963" t="s">
        <v>13</v>
      </c>
      <c r="F963" t="s">
        <v>33</v>
      </c>
      <c r="G963" s="1">
        <v>8831</v>
      </c>
      <c r="H963">
        <v>1</v>
      </c>
      <c r="I963" s="1">
        <f>supermarket_sales_new[[#This Row],[Unit price]]*supermarket_sales_new[[#This Row],[Quantity]]*5%</f>
        <v>441.55</v>
      </c>
      <c r="J963" s="1">
        <f>(supermarket_sales_new[[#This Row],[Unit price]]*supermarket_sales_new[[#This Row],[Quantity]])+supermarket_sales_new[[#This Row],[Tax 5%]]</f>
        <v>9272.5499999999993</v>
      </c>
    </row>
    <row r="964" spans="1:10" x14ac:dyDescent="0.35">
      <c r="A964" t="s">
        <v>525</v>
      </c>
      <c r="B964" t="s">
        <v>987</v>
      </c>
      <c r="C964" t="s">
        <v>25</v>
      </c>
      <c r="D964" t="s">
        <v>26</v>
      </c>
      <c r="E964" t="s">
        <v>18</v>
      </c>
      <c r="F964" t="s">
        <v>33</v>
      </c>
      <c r="G964" s="1">
        <v>2531</v>
      </c>
      <c r="H964">
        <v>2</v>
      </c>
      <c r="I964" s="1">
        <f>supermarket_sales_new[[#This Row],[Unit price]]*supermarket_sales_new[[#This Row],[Quantity]]*5%</f>
        <v>253.10000000000002</v>
      </c>
      <c r="J964" s="1">
        <f>(supermarket_sales_new[[#This Row],[Unit price]]*supermarket_sales_new[[#This Row],[Quantity]])+supermarket_sales_new[[#This Row],[Tax 5%]]</f>
        <v>5315.1</v>
      </c>
    </row>
    <row r="965" spans="1:10" x14ac:dyDescent="0.35">
      <c r="A965" t="s">
        <v>525</v>
      </c>
      <c r="B965" t="s">
        <v>988</v>
      </c>
      <c r="C965" t="s">
        <v>25</v>
      </c>
      <c r="D965" t="s">
        <v>26</v>
      </c>
      <c r="E965" t="s">
        <v>18</v>
      </c>
      <c r="F965" t="s">
        <v>22</v>
      </c>
      <c r="G965" s="1">
        <v>9992</v>
      </c>
      <c r="H965">
        <v>6</v>
      </c>
      <c r="I965" s="1">
        <f>supermarket_sales_new[[#This Row],[Unit price]]*supermarket_sales_new[[#This Row],[Quantity]]*5%</f>
        <v>2997.6000000000004</v>
      </c>
      <c r="J965" s="1">
        <f>(supermarket_sales_new[[#This Row],[Unit price]]*supermarket_sales_new[[#This Row],[Quantity]])+supermarket_sales_new[[#This Row],[Tax 5%]]</f>
        <v>62949.599999999999</v>
      </c>
    </row>
    <row r="966" spans="1:10" x14ac:dyDescent="0.35">
      <c r="A966" t="s">
        <v>525</v>
      </c>
      <c r="B966" t="s">
        <v>989</v>
      </c>
      <c r="C966" t="s">
        <v>16</v>
      </c>
      <c r="D966" t="s">
        <v>17</v>
      </c>
      <c r="E966" t="s">
        <v>18</v>
      </c>
      <c r="F966" t="s">
        <v>14</v>
      </c>
      <c r="G966" s="1">
        <v>6408</v>
      </c>
      <c r="H966">
        <v>7</v>
      </c>
      <c r="I966" s="1">
        <f>supermarket_sales_new[[#This Row],[Unit price]]*supermarket_sales_new[[#This Row],[Quantity]]*5%</f>
        <v>2242.8000000000002</v>
      </c>
      <c r="J966" s="1">
        <f>(supermarket_sales_new[[#This Row],[Unit price]]*supermarket_sales_new[[#This Row],[Quantity]])+supermarket_sales_new[[#This Row],[Tax 5%]]</f>
        <v>47098.8</v>
      </c>
    </row>
    <row r="967" spans="1:10" x14ac:dyDescent="0.35">
      <c r="A967" t="s">
        <v>525</v>
      </c>
      <c r="B967" t="s">
        <v>990</v>
      </c>
      <c r="C967" t="s">
        <v>16</v>
      </c>
      <c r="D967" t="s">
        <v>17</v>
      </c>
      <c r="E967" t="s">
        <v>13</v>
      </c>
      <c r="F967" t="s">
        <v>22</v>
      </c>
      <c r="G967" s="1">
        <v>8572</v>
      </c>
      <c r="H967">
        <v>3</v>
      </c>
      <c r="I967" s="1">
        <f>supermarket_sales_new[[#This Row],[Unit price]]*supermarket_sales_new[[#This Row],[Quantity]]*5%</f>
        <v>1285.8000000000002</v>
      </c>
      <c r="J967" s="1">
        <f>(supermarket_sales_new[[#This Row],[Unit price]]*supermarket_sales_new[[#This Row],[Quantity]])+supermarket_sales_new[[#This Row],[Tax 5%]]</f>
        <v>27001.8</v>
      </c>
    </row>
    <row r="968" spans="1:10" x14ac:dyDescent="0.35">
      <c r="A968" t="s">
        <v>525</v>
      </c>
      <c r="B968" t="s">
        <v>991</v>
      </c>
      <c r="C968" t="s">
        <v>11</v>
      </c>
      <c r="D968" t="s">
        <v>12</v>
      </c>
      <c r="E968" t="s">
        <v>18</v>
      </c>
      <c r="F968" t="s">
        <v>27</v>
      </c>
      <c r="G968" s="1">
        <v>6652</v>
      </c>
      <c r="H968">
        <v>4</v>
      </c>
      <c r="I968" s="1">
        <f>supermarket_sales_new[[#This Row],[Unit price]]*supermarket_sales_new[[#This Row],[Quantity]]*5%</f>
        <v>1330.4</v>
      </c>
      <c r="J968" s="1">
        <f>(supermarket_sales_new[[#This Row],[Unit price]]*supermarket_sales_new[[#This Row],[Quantity]])+supermarket_sales_new[[#This Row],[Tax 5%]]</f>
        <v>27938.400000000001</v>
      </c>
    </row>
    <row r="969" spans="1:10" x14ac:dyDescent="0.35">
      <c r="A969" t="s">
        <v>525</v>
      </c>
      <c r="B969" t="s">
        <v>992</v>
      </c>
      <c r="C969" t="s">
        <v>16</v>
      </c>
      <c r="D969" t="s">
        <v>17</v>
      </c>
      <c r="E969" t="s">
        <v>13</v>
      </c>
      <c r="F969" t="s">
        <v>29</v>
      </c>
      <c r="G969" s="1">
        <v>9982</v>
      </c>
      <c r="H969">
        <v>9</v>
      </c>
      <c r="I969" s="1">
        <f>supermarket_sales_new[[#This Row],[Unit price]]*supermarket_sales_new[[#This Row],[Quantity]]*5%</f>
        <v>4491.9000000000005</v>
      </c>
      <c r="J969" s="1">
        <f>(supermarket_sales_new[[#This Row],[Unit price]]*supermarket_sales_new[[#This Row],[Quantity]])+supermarket_sales_new[[#This Row],[Tax 5%]]</f>
        <v>94329.9</v>
      </c>
    </row>
    <row r="970" spans="1:10" x14ac:dyDescent="0.35">
      <c r="A970" t="s">
        <v>525</v>
      </c>
      <c r="B970" t="s">
        <v>993</v>
      </c>
      <c r="C970" t="s">
        <v>11</v>
      </c>
      <c r="D970" t="s">
        <v>12</v>
      </c>
      <c r="E970" t="s">
        <v>18</v>
      </c>
      <c r="F970" t="s">
        <v>14</v>
      </c>
      <c r="G970" s="1">
        <v>5079</v>
      </c>
      <c r="H970">
        <v>5</v>
      </c>
      <c r="I970" s="1">
        <f>supermarket_sales_new[[#This Row],[Unit price]]*supermarket_sales_new[[#This Row],[Quantity]]*5%</f>
        <v>1269.75</v>
      </c>
      <c r="J970" s="1">
        <f>(supermarket_sales_new[[#This Row],[Unit price]]*supermarket_sales_new[[#This Row],[Quantity]])+supermarket_sales_new[[#This Row],[Tax 5%]]</f>
        <v>26664.75</v>
      </c>
    </row>
    <row r="971" spans="1:10" x14ac:dyDescent="0.35">
      <c r="A971" t="s">
        <v>525</v>
      </c>
      <c r="B971" t="s">
        <v>994</v>
      </c>
      <c r="C971" t="s">
        <v>11</v>
      </c>
      <c r="D971" t="s">
        <v>12</v>
      </c>
      <c r="E971" t="s">
        <v>13</v>
      </c>
      <c r="F971" t="s">
        <v>14</v>
      </c>
      <c r="G971" s="1">
        <v>1008</v>
      </c>
      <c r="H971">
        <v>7</v>
      </c>
      <c r="I971" s="1">
        <f>supermarket_sales_new[[#This Row],[Unit price]]*supermarket_sales_new[[#This Row],[Quantity]]*5%</f>
        <v>352.8</v>
      </c>
      <c r="J971" s="1">
        <f>(supermarket_sales_new[[#This Row],[Unit price]]*supermarket_sales_new[[#This Row],[Quantity]])+supermarket_sales_new[[#This Row],[Tax 5%]]</f>
        <v>7408.8</v>
      </c>
    </row>
    <row r="972" spans="1:10" x14ac:dyDescent="0.35">
      <c r="A972" t="s">
        <v>525</v>
      </c>
      <c r="B972" t="s">
        <v>995</v>
      </c>
      <c r="C972" t="s">
        <v>16</v>
      </c>
      <c r="D972" t="s">
        <v>17</v>
      </c>
      <c r="E972" t="s">
        <v>13</v>
      </c>
      <c r="F972" t="s">
        <v>19</v>
      </c>
      <c r="G972" s="1">
        <v>8425</v>
      </c>
      <c r="H972">
        <v>2</v>
      </c>
      <c r="I972" s="1">
        <f>supermarket_sales_new[[#This Row],[Unit price]]*supermarket_sales_new[[#This Row],[Quantity]]*5%</f>
        <v>842.5</v>
      </c>
      <c r="J972" s="1">
        <f>(supermarket_sales_new[[#This Row],[Unit price]]*supermarket_sales_new[[#This Row],[Quantity]])+supermarket_sales_new[[#This Row],[Tax 5%]]</f>
        <v>17692.5</v>
      </c>
    </row>
    <row r="973" spans="1:10" x14ac:dyDescent="0.35">
      <c r="A973" t="s">
        <v>525</v>
      </c>
      <c r="B973" t="s">
        <v>996</v>
      </c>
      <c r="C973" t="s">
        <v>25</v>
      </c>
      <c r="D973" t="s">
        <v>26</v>
      </c>
      <c r="E973" t="s">
        <v>13</v>
      </c>
      <c r="F973" t="s">
        <v>29</v>
      </c>
      <c r="G973" s="1">
        <v>5378</v>
      </c>
      <c r="H973">
        <v>1</v>
      </c>
      <c r="I973" s="1">
        <f>supermarket_sales_new[[#This Row],[Unit price]]*supermarket_sales_new[[#This Row],[Quantity]]*5%</f>
        <v>268.90000000000003</v>
      </c>
      <c r="J973" s="1">
        <f>(supermarket_sales_new[[#This Row],[Unit price]]*supermarket_sales_new[[#This Row],[Quantity]])+supermarket_sales_new[[#This Row],[Tax 5%]]</f>
        <v>5646.9</v>
      </c>
    </row>
    <row r="974" spans="1:10" x14ac:dyDescent="0.35">
      <c r="A974" t="s">
        <v>525</v>
      </c>
      <c r="B974" t="s">
        <v>997</v>
      </c>
      <c r="C974" t="s">
        <v>16</v>
      </c>
      <c r="D974" t="s">
        <v>17</v>
      </c>
      <c r="E974" t="s">
        <v>13</v>
      </c>
      <c r="F974" t="s">
        <v>22</v>
      </c>
      <c r="G974" s="1">
        <v>3581</v>
      </c>
      <c r="H974">
        <v>5</v>
      </c>
      <c r="I974" s="1">
        <f>supermarket_sales_new[[#This Row],[Unit price]]*supermarket_sales_new[[#This Row],[Quantity]]*5%</f>
        <v>895.25</v>
      </c>
      <c r="J974" s="1">
        <f>(supermarket_sales_new[[#This Row],[Unit price]]*supermarket_sales_new[[#This Row],[Quantity]])+supermarket_sales_new[[#This Row],[Tax 5%]]</f>
        <v>18800.25</v>
      </c>
    </row>
    <row r="975" spans="1:10" x14ac:dyDescent="0.35">
      <c r="A975" t="s">
        <v>525</v>
      </c>
      <c r="B975" t="s">
        <v>998</v>
      </c>
      <c r="C975" t="s">
        <v>25</v>
      </c>
      <c r="D975" t="s">
        <v>26</v>
      </c>
      <c r="E975" t="s">
        <v>13</v>
      </c>
      <c r="F975" t="s">
        <v>14</v>
      </c>
      <c r="G975" s="1">
        <v>3991</v>
      </c>
      <c r="H975">
        <v>3</v>
      </c>
      <c r="I975" s="1">
        <f>supermarket_sales_new[[#This Row],[Unit price]]*supermarket_sales_new[[#This Row],[Quantity]]*5%</f>
        <v>598.65</v>
      </c>
      <c r="J975" s="1">
        <f>(supermarket_sales_new[[#This Row],[Unit price]]*supermarket_sales_new[[#This Row],[Quantity]])+supermarket_sales_new[[#This Row],[Tax 5%]]</f>
        <v>12571.65</v>
      </c>
    </row>
    <row r="976" spans="1:10" x14ac:dyDescent="0.35">
      <c r="A976" t="s">
        <v>525</v>
      </c>
      <c r="B976" t="s">
        <v>999</v>
      </c>
      <c r="C976" t="s">
        <v>25</v>
      </c>
      <c r="D976" t="s">
        <v>26</v>
      </c>
      <c r="E976" t="s">
        <v>13</v>
      </c>
      <c r="F976" t="s">
        <v>22</v>
      </c>
      <c r="G976" s="1">
        <v>6591</v>
      </c>
      <c r="H976">
        <v>6</v>
      </c>
      <c r="I976" s="1">
        <f>supermarket_sales_new[[#This Row],[Unit price]]*supermarket_sales_new[[#This Row],[Quantity]]*5%</f>
        <v>1977.3000000000002</v>
      </c>
      <c r="J976" s="1">
        <f>(supermarket_sales_new[[#This Row],[Unit price]]*supermarket_sales_new[[#This Row],[Quantity]])+supermarket_sales_new[[#This Row],[Tax 5%]]</f>
        <v>41523.300000000003</v>
      </c>
    </row>
    <row r="977" spans="1:10" x14ac:dyDescent="0.35">
      <c r="A977" t="s">
        <v>525</v>
      </c>
      <c r="B977" t="s">
        <v>1000</v>
      </c>
      <c r="C977" t="s">
        <v>16</v>
      </c>
      <c r="D977" t="s">
        <v>17</v>
      </c>
      <c r="E977" t="s">
        <v>13</v>
      </c>
      <c r="F977" t="s">
        <v>27</v>
      </c>
      <c r="G977" s="1">
        <v>5049</v>
      </c>
      <c r="H977">
        <v>9</v>
      </c>
      <c r="I977" s="1">
        <f>supermarket_sales_new[[#This Row],[Unit price]]*supermarket_sales_new[[#This Row],[Quantity]]*5%</f>
        <v>2272.0500000000002</v>
      </c>
      <c r="J977" s="1">
        <f>(supermarket_sales_new[[#This Row],[Unit price]]*supermarket_sales_new[[#This Row],[Quantity]])+supermarket_sales_new[[#This Row],[Tax 5%]]</f>
        <v>47713.05</v>
      </c>
    </row>
    <row r="978" spans="1:10" x14ac:dyDescent="0.35">
      <c r="A978" t="s">
        <v>525</v>
      </c>
      <c r="B978" t="s">
        <v>1001</v>
      </c>
      <c r="C978" t="s">
        <v>25</v>
      </c>
      <c r="D978" t="s">
        <v>26</v>
      </c>
      <c r="E978" t="s">
        <v>18</v>
      </c>
      <c r="F978" t="s">
        <v>19</v>
      </c>
      <c r="G978" s="1">
        <v>4602</v>
      </c>
      <c r="H978">
        <v>6</v>
      </c>
      <c r="I978" s="1">
        <f>supermarket_sales_new[[#This Row],[Unit price]]*supermarket_sales_new[[#This Row],[Quantity]]*5%</f>
        <v>1380.6000000000001</v>
      </c>
      <c r="J978" s="1">
        <f>(supermarket_sales_new[[#This Row],[Unit price]]*supermarket_sales_new[[#This Row],[Quantity]])+supermarket_sales_new[[#This Row],[Tax 5%]]</f>
        <v>28992.6</v>
      </c>
    </row>
    <row r="979" spans="1:10" x14ac:dyDescent="0.35">
      <c r="A979" t="s">
        <v>525</v>
      </c>
      <c r="B979" t="s">
        <v>1002</v>
      </c>
      <c r="C979" t="s">
        <v>16</v>
      </c>
      <c r="D979" t="s">
        <v>17</v>
      </c>
      <c r="E979" t="s">
        <v>13</v>
      </c>
      <c r="F979" t="s">
        <v>29</v>
      </c>
      <c r="G979" s="1">
        <v>9198</v>
      </c>
      <c r="H979">
        <v>1</v>
      </c>
      <c r="I979" s="1">
        <f>supermarket_sales_new[[#This Row],[Unit price]]*supermarket_sales_new[[#This Row],[Quantity]]*5%</f>
        <v>459.90000000000003</v>
      </c>
      <c r="J979" s="1">
        <f>(supermarket_sales_new[[#This Row],[Unit price]]*supermarket_sales_new[[#This Row],[Quantity]])+supermarket_sales_new[[#This Row],[Tax 5%]]</f>
        <v>9657.9</v>
      </c>
    </row>
    <row r="980" spans="1:10" x14ac:dyDescent="0.35">
      <c r="A980" t="s">
        <v>525</v>
      </c>
      <c r="B980" t="s">
        <v>1003</v>
      </c>
      <c r="C980" t="s">
        <v>11</v>
      </c>
      <c r="D980" t="s">
        <v>12</v>
      </c>
      <c r="E980" t="s">
        <v>13</v>
      </c>
      <c r="F980" t="s">
        <v>19</v>
      </c>
      <c r="G980" s="1">
        <v>2089</v>
      </c>
      <c r="H980">
        <v>2</v>
      </c>
      <c r="I980" s="1">
        <f>supermarket_sales_new[[#This Row],[Unit price]]*supermarket_sales_new[[#This Row],[Quantity]]*5%</f>
        <v>208.9</v>
      </c>
      <c r="J980" s="1">
        <f>(supermarket_sales_new[[#This Row],[Unit price]]*supermarket_sales_new[[#This Row],[Quantity]])+supermarket_sales_new[[#This Row],[Tax 5%]]</f>
        <v>4386.8999999999996</v>
      </c>
    </row>
    <row r="981" spans="1:10" x14ac:dyDescent="0.35">
      <c r="A981" t="s">
        <v>525</v>
      </c>
      <c r="B981" t="s">
        <v>1004</v>
      </c>
      <c r="C981" t="s">
        <v>16</v>
      </c>
      <c r="D981" t="s">
        <v>17</v>
      </c>
      <c r="E981" t="s">
        <v>13</v>
      </c>
      <c r="F981" t="s">
        <v>19</v>
      </c>
      <c r="G981" s="1">
        <v>9682</v>
      </c>
      <c r="H981">
        <v>3</v>
      </c>
      <c r="I981" s="1">
        <f>supermarket_sales_new[[#This Row],[Unit price]]*supermarket_sales_new[[#This Row],[Quantity]]*5%</f>
        <v>1452.3000000000002</v>
      </c>
      <c r="J981" s="1">
        <f>(supermarket_sales_new[[#This Row],[Unit price]]*supermarket_sales_new[[#This Row],[Quantity]])+supermarket_sales_new[[#This Row],[Tax 5%]]</f>
        <v>30498.3</v>
      </c>
    </row>
    <row r="982" spans="1:10" x14ac:dyDescent="0.35">
      <c r="A982" t="s">
        <v>525</v>
      </c>
      <c r="B982" t="s">
        <v>1005</v>
      </c>
      <c r="C982" t="s">
        <v>25</v>
      </c>
      <c r="D982" t="s">
        <v>26</v>
      </c>
      <c r="E982" t="s">
        <v>18</v>
      </c>
      <c r="F982" t="s">
        <v>27</v>
      </c>
      <c r="G982" s="1">
        <v>3333</v>
      </c>
      <c r="H982">
        <v>2</v>
      </c>
      <c r="I982" s="1">
        <f>supermarket_sales_new[[#This Row],[Unit price]]*supermarket_sales_new[[#This Row],[Quantity]]*5%</f>
        <v>333.3</v>
      </c>
      <c r="J982" s="1">
        <f>(supermarket_sales_new[[#This Row],[Unit price]]*supermarket_sales_new[[#This Row],[Quantity]])+supermarket_sales_new[[#This Row],[Tax 5%]]</f>
        <v>6999.3</v>
      </c>
    </row>
    <row r="983" spans="1:10" x14ac:dyDescent="0.35">
      <c r="A983" t="s">
        <v>525</v>
      </c>
      <c r="B983" t="s">
        <v>1006</v>
      </c>
      <c r="C983" t="s">
        <v>11</v>
      </c>
      <c r="D983" t="s">
        <v>12</v>
      </c>
      <c r="E983" t="s">
        <v>13</v>
      </c>
      <c r="F983" t="s">
        <v>22</v>
      </c>
      <c r="G983" s="1">
        <v>8101</v>
      </c>
      <c r="H983">
        <v>3</v>
      </c>
      <c r="I983" s="1">
        <f>supermarket_sales_new[[#This Row],[Unit price]]*supermarket_sales_new[[#This Row],[Quantity]]*5%</f>
        <v>1215.1500000000001</v>
      </c>
      <c r="J983" s="1">
        <f>(supermarket_sales_new[[#This Row],[Unit price]]*supermarket_sales_new[[#This Row],[Quantity]])+supermarket_sales_new[[#This Row],[Tax 5%]]</f>
        <v>25518.15</v>
      </c>
    </row>
    <row r="984" spans="1:10" x14ac:dyDescent="0.35">
      <c r="A984" t="s">
        <v>525</v>
      </c>
      <c r="B984" t="s">
        <v>1007</v>
      </c>
      <c r="C984" t="s">
        <v>25</v>
      </c>
      <c r="D984" t="s">
        <v>26</v>
      </c>
      <c r="E984" t="s">
        <v>13</v>
      </c>
      <c r="F984" t="s">
        <v>22</v>
      </c>
      <c r="G984" s="1">
        <v>3691</v>
      </c>
      <c r="H984">
        <v>7</v>
      </c>
      <c r="I984" s="1">
        <f>supermarket_sales_new[[#This Row],[Unit price]]*supermarket_sales_new[[#This Row],[Quantity]]*5%</f>
        <v>1291.8500000000001</v>
      </c>
      <c r="J984" s="1">
        <f>(supermarket_sales_new[[#This Row],[Unit price]]*supermarket_sales_new[[#This Row],[Quantity]])+supermarket_sales_new[[#This Row],[Tax 5%]]</f>
        <v>27128.85</v>
      </c>
    </row>
    <row r="985" spans="1:10" x14ac:dyDescent="0.35">
      <c r="A985" t="s">
        <v>525</v>
      </c>
      <c r="B985" t="s">
        <v>1008</v>
      </c>
      <c r="C985" t="s">
        <v>25</v>
      </c>
      <c r="D985" t="s">
        <v>26</v>
      </c>
      <c r="E985" t="s">
        <v>18</v>
      </c>
      <c r="F985" t="s">
        <v>19</v>
      </c>
      <c r="G985" s="1">
        <v>8708</v>
      </c>
      <c r="H985">
        <v>7</v>
      </c>
      <c r="I985" s="1">
        <f>supermarket_sales_new[[#This Row],[Unit price]]*supermarket_sales_new[[#This Row],[Quantity]]*5%</f>
        <v>3047.8</v>
      </c>
      <c r="J985" s="1">
        <f>(supermarket_sales_new[[#This Row],[Unit price]]*supermarket_sales_new[[#This Row],[Quantity]])+supermarket_sales_new[[#This Row],[Tax 5%]]</f>
        <v>64003.8</v>
      </c>
    </row>
    <row r="986" spans="1:10" x14ac:dyDescent="0.35">
      <c r="A986" t="s">
        <v>525</v>
      </c>
      <c r="B986" t="s">
        <v>1009</v>
      </c>
      <c r="C986" t="s">
        <v>11</v>
      </c>
      <c r="D986" t="s">
        <v>12</v>
      </c>
      <c r="E986" t="s">
        <v>18</v>
      </c>
      <c r="F986" t="s">
        <v>22</v>
      </c>
      <c r="G986" s="1">
        <v>8008</v>
      </c>
      <c r="H986">
        <v>3</v>
      </c>
      <c r="I986" s="1">
        <f>supermarket_sales_new[[#This Row],[Unit price]]*supermarket_sales_new[[#This Row],[Quantity]]*5%</f>
        <v>1201.2</v>
      </c>
      <c r="J986" s="1">
        <f>(supermarket_sales_new[[#This Row],[Unit price]]*supermarket_sales_new[[#This Row],[Quantity]])+supermarket_sales_new[[#This Row],[Tax 5%]]</f>
        <v>25225.200000000001</v>
      </c>
    </row>
    <row r="987" spans="1:10" x14ac:dyDescent="0.35">
      <c r="A987" t="s">
        <v>525</v>
      </c>
      <c r="B987" t="s">
        <v>1010</v>
      </c>
      <c r="C987" t="s">
        <v>16</v>
      </c>
      <c r="D987" t="s">
        <v>17</v>
      </c>
      <c r="E987" t="s">
        <v>18</v>
      </c>
      <c r="F987" t="s">
        <v>29</v>
      </c>
      <c r="G987" s="1">
        <v>8613</v>
      </c>
      <c r="H987">
        <v>2</v>
      </c>
      <c r="I987" s="1">
        <f>supermarket_sales_new[[#This Row],[Unit price]]*supermarket_sales_new[[#This Row],[Quantity]]*5%</f>
        <v>861.30000000000007</v>
      </c>
      <c r="J987" s="1">
        <f>(supermarket_sales_new[[#This Row],[Unit price]]*supermarket_sales_new[[#This Row],[Quantity]])+supermarket_sales_new[[#This Row],[Tax 5%]]</f>
        <v>18087.3</v>
      </c>
    </row>
    <row r="988" spans="1:10" x14ac:dyDescent="0.35">
      <c r="A988" t="s">
        <v>525</v>
      </c>
      <c r="B988" t="s">
        <v>1011</v>
      </c>
      <c r="C988" t="s">
        <v>25</v>
      </c>
      <c r="D988" t="s">
        <v>26</v>
      </c>
      <c r="E988" t="s">
        <v>13</v>
      </c>
      <c r="F988" t="s">
        <v>29</v>
      </c>
      <c r="G988" s="1">
        <v>4992</v>
      </c>
      <c r="H988">
        <v>2</v>
      </c>
      <c r="I988" s="1">
        <f>supermarket_sales_new[[#This Row],[Unit price]]*supermarket_sales_new[[#This Row],[Quantity]]*5%</f>
        <v>499.20000000000005</v>
      </c>
      <c r="J988" s="1">
        <f>(supermarket_sales_new[[#This Row],[Unit price]]*supermarket_sales_new[[#This Row],[Quantity]])+supermarket_sales_new[[#This Row],[Tax 5%]]</f>
        <v>10483.200000000001</v>
      </c>
    </row>
    <row r="989" spans="1:10" x14ac:dyDescent="0.35">
      <c r="A989" t="s">
        <v>525</v>
      </c>
      <c r="B989" t="s">
        <v>1012</v>
      </c>
      <c r="C989" t="s">
        <v>25</v>
      </c>
      <c r="D989" t="s">
        <v>26</v>
      </c>
      <c r="E989" t="s">
        <v>13</v>
      </c>
      <c r="F989" t="s">
        <v>27</v>
      </c>
      <c r="G989" s="1">
        <v>266</v>
      </c>
      <c r="H989">
        <v>6</v>
      </c>
      <c r="I989" s="1">
        <f>supermarket_sales_new[[#This Row],[Unit price]]*supermarket_sales_new[[#This Row],[Quantity]]*5%</f>
        <v>79.800000000000011</v>
      </c>
      <c r="J989" s="1">
        <f>(supermarket_sales_new[[#This Row],[Unit price]]*supermarket_sales_new[[#This Row],[Quantity]])+supermarket_sales_new[[#This Row],[Tax 5%]]</f>
        <v>1675.8</v>
      </c>
    </row>
    <row r="990" spans="1:10" x14ac:dyDescent="0.35">
      <c r="A990" t="s">
        <v>525</v>
      </c>
      <c r="B990" t="s">
        <v>1013</v>
      </c>
      <c r="C990" t="s">
        <v>16</v>
      </c>
      <c r="D990" t="s">
        <v>17</v>
      </c>
      <c r="E990" t="s">
        <v>13</v>
      </c>
      <c r="F990" t="s">
        <v>27</v>
      </c>
      <c r="G990" s="1">
        <v>5959</v>
      </c>
      <c r="H990">
        <v>4</v>
      </c>
      <c r="I990" s="1">
        <f>supermarket_sales_new[[#This Row],[Unit price]]*supermarket_sales_new[[#This Row],[Quantity]]*5%</f>
        <v>1191.8</v>
      </c>
      <c r="J990" s="1">
        <f>(supermarket_sales_new[[#This Row],[Unit price]]*supermarket_sales_new[[#This Row],[Quantity]])+supermarket_sales_new[[#This Row],[Tax 5%]]</f>
        <v>25027.8</v>
      </c>
    </row>
    <row r="991" spans="1:10" x14ac:dyDescent="0.35">
      <c r="A991" t="s">
        <v>525</v>
      </c>
      <c r="B991" t="s">
        <v>1014</v>
      </c>
      <c r="C991" t="s">
        <v>11</v>
      </c>
      <c r="D991" t="s">
        <v>12</v>
      </c>
      <c r="E991" t="s">
        <v>18</v>
      </c>
      <c r="F991" t="s">
        <v>14</v>
      </c>
      <c r="G991" s="1">
        <v>5815</v>
      </c>
      <c r="H991">
        <v>4</v>
      </c>
      <c r="I991" s="1">
        <f>supermarket_sales_new[[#This Row],[Unit price]]*supermarket_sales_new[[#This Row],[Quantity]]*5%</f>
        <v>1163</v>
      </c>
      <c r="J991" s="1">
        <f>(supermarket_sales_new[[#This Row],[Unit price]]*supermarket_sales_new[[#This Row],[Quantity]])+supermarket_sales_new[[#This Row],[Tax 5%]]</f>
        <v>24423</v>
      </c>
    </row>
    <row r="992" spans="1:10" x14ac:dyDescent="0.35">
      <c r="A992" t="s">
        <v>525</v>
      </c>
      <c r="B992" t="s">
        <v>1015</v>
      </c>
      <c r="C992" t="s">
        <v>16</v>
      </c>
      <c r="D992" t="s">
        <v>17</v>
      </c>
      <c r="E992" t="s">
        <v>18</v>
      </c>
      <c r="F992" t="s">
        <v>14</v>
      </c>
      <c r="G992" s="1">
        <v>9996</v>
      </c>
      <c r="H992">
        <v>7</v>
      </c>
      <c r="I992" s="1">
        <f>supermarket_sales_new[[#This Row],[Unit price]]*supermarket_sales_new[[#This Row],[Quantity]]*5%</f>
        <v>3498.6000000000004</v>
      </c>
      <c r="J992" s="1">
        <f>(supermarket_sales_new[[#This Row],[Unit price]]*supermarket_sales_new[[#This Row],[Quantity]])+supermarket_sales_new[[#This Row],[Tax 5%]]</f>
        <v>73470.600000000006</v>
      </c>
    </row>
    <row r="993" spans="1:10" x14ac:dyDescent="0.35">
      <c r="A993" t="s">
        <v>525</v>
      </c>
      <c r="B993" t="s">
        <v>1016</v>
      </c>
      <c r="C993" t="s">
        <v>16</v>
      </c>
      <c r="D993" t="s">
        <v>17</v>
      </c>
      <c r="E993" t="s">
        <v>18</v>
      </c>
      <c r="F993" t="s">
        <v>19</v>
      </c>
      <c r="G993" s="1">
        <v>9637</v>
      </c>
      <c r="H993">
        <v>7</v>
      </c>
      <c r="I993" s="1">
        <f>supermarket_sales_new[[#This Row],[Unit price]]*supermarket_sales_new[[#This Row],[Quantity]]*5%</f>
        <v>3372.9500000000003</v>
      </c>
      <c r="J993" s="1">
        <f>(supermarket_sales_new[[#This Row],[Unit price]]*supermarket_sales_new[[#This Row],[Quantity]])+supermarket_sales_new[[#This Row],[Tax 5%]]</f>
        <v>70831.95</v>
      </c>
    </row>
    <row r="994" spans="1:10" x14ac:dyDescent="0.35">
      <c r="A994" t="s">
        <v>525</v>
      </c>
      <c r="B994" t="s">
        <v>1017</v>
      </c>
      <c r="C994" t="s">
        <v>25</v>
      </c>
      <c r="D994" t="s">
        <v>26</v>
      </c>
      <c r="E994" t="s">
        <v>13</v>
      </c>
      <c r="F994" t="s">
        <v>14</v>
      </c>
      <c r="G994" s="1">
        <v>62</v>
      </c>
      <c r="H994">
        <v>8</v>
      </c>
      <c r="I994" s="1">
        <f>supermarket_sales_new[[#This Row],[Unit price]]*supermarket_sales_new[[#This Row],[Quantity]]*5%</f>
        <v>24.8</v>
      </c>
      <c r="J994" s="1">
        <f>(supermarket_sales_new[[#This Row],[Unit price]]*supermarket_sales_new[[#This Row],[Quantity]])+supermarket_sales_new[[#This Row],[Tax 5%]]</f>
        <v>520.79999999999995</v>
      </c>
    </row>
    <row r="995" spans="1:10" x14ac:dyDescent="0.35">
      <c r="A995" t="s">
        <v>525</v>
      </c>
      <c r="B995" t="s">
        <v>1018</v>
      </c>
      <c r="C995" t="s">
        <v>16</v>
      </c>
      <c r="D995" t="s">
        <v>17</v>
      </c>
      <c r="E995" t="s">
        <v>13</v>
      </c>
      <c r="F995" t="s">
        <v>19</v>
      </c>
      <c r="G995" s="1">
        <v>8234</v>
      </c>
      <c r="H995">
        <v>10</v>
      </c>
      <c r="I995" s="1">
        <f>supermarket_sales_new[[#This Row],[Unit price]]*supermarket_sales_new[[#This Row],[Quantity]]*5%</f>
        <v>4117</v>
      </c>
      <c r="J995" s="1">
        <f>(supermarket_sales_new[[#This Row],[Unit price]]*supermarket_sales_new[[#This Row],[Quantity]])+supermarket_sales_new[[#This Row],[Tax 5%]]</f>
        <v>86457</v>
      </c>
    </row>
    <row r="996" spans="1:10" x14ac:dyDescent="0.35">
      <c r="A996" t="s">
        <v>525</v>
      </c>
      <c r="B996" t="s">
        <v>1019</v>
      </c>
      <c r="C996" t="s">
        <v>25</v>
      </c>
      <c r="D996" t="s">
        <v>26</v>
      </c>
      <c r="E996" t="s">
        <v>13</v>
      </c>
      <c r="F996" t="s">
        <v>14</v>
      </c>
      <c r="G996" s="1">
        <v>7537</v>
      </c>
      <c r="H996">
        <v>8</v>
      </c>
      <c r="I996" s="1">
        <f>supermarket_sales_new[[#This Row],[Unit price]]*supermarket_sales_new[[#This Row],[Quantity]]*5%</f>
        <v>3014.8</v>
      </c>
      <c r="J996" s="1">
        <f>(supermarket_sales_new[[#This Row],[Unit price]]*supermarket_sales_new[[#This Row],[Quantity]])+supermarket_sales_new[[#This Row],[Tax 5%]]</f>
        <v>63310.8</v>
      </c>
    </row>
    <row r="997" spans="1:10" x14ac:dyDescent="0.35">
      <c r="A997" t="s">
        <v>525</v>
      </c>
      <c r="B997" t="s">
        <v>1020</v>
      </c>
      <c r="C997" t="s">
        <v>11</v>
      </c>
      <c r="D997" t="s">
        <v>12</v>
      </c>
      <c r="E997" t="s">
        <v>18</v>
      </c>
      <c r="F997" t="s">
        <v>19</v>
      </c>
      <c r="G997" s="1">
        <v>5803</v>
      </c>
      <c r="H997">
        <v>2</v>
      </c>
      <c r="I997" s="1">
        <f>supermarket_sales_new[[#This Row],[Unit price]]*supermarket_sales_new[[#This Row],[Quantity]]*5%</f>
        <v>580.30000000000007</v>
      </c>
      <c r="J997" s="1">
        <f>(supermarket_sales_new[[#This Row],[Unit price]]*supermarket_sales_new[[#This Row],[Quantity]])+supermarket_sales_new[[#This Row],[Tax 5%]]</f>
        <v>12186.3</v>
      </c>
    </row>
    <row r="998" spans="1:10" x14ac:dyDescent="0.35">
      <c r="A998" t="s">
        <v>525</v>
      </c>
      <c r="B998" t="s">
        <v>1021</v>
      </c>
      <c r="C998" t="s">
        <v>25</v>
      </c>
      <c r="D998" t="s">
        <v>26</v>
      </c>
      <c r="E998" t="s">
        <v>18</v>
      </c>
      <c r="F998" t="s">
        <v>29</v>
      </c>
      <c r="G998" s="1">
        <v>1749</v>
      </c>
      <c r="H998">
        <v>10</v>
      </c>
      <c r="I998" s="1">
        <f>supermarket_sales_new[[#This Row],[Unit price]]*supermarket_sales_new[[#This Row],[Quantity]]*5%</f>
        <v>874.5</v>
      </c>
      <c r="J998" s="1">
        <f>(supermarket_sales_new[[#This Row],[Unit price]]*supermarket_sales_new[[#This Row],[Quantity]])+supermarket_sales_new[[#This Row],[Tax 5%]]</f>
        <v>18364.5</v>
      </c>
    </row>
    <row r="999" spans="1:10" x14ac:dyDescent="0.35">
      <c r="A999" t="s">
        <v>525</v>
      </c>
      <c r="B999" t="s">
        <v>1022</v>
      </c>
      <c r="C999" t="s">
        <v>16</v>
      </c>
      <c r="D999" t="s">
        <v>17</v>
      </c>
      <c r="E999" t="s">
        <v>18</v>
      </c>
      <c r="F999" t="s">
        <v>14</v>
      </c>
      <c r="G999" s="1">
        <v>4035</v>
      </c>
      <c r="H999">
        <v>1</v>
      </c>
      <c r="I999" s="1">
        <f>supermarket_sales_new[[#This Row],[Unit price]]*supermarket_sales_new[[#This Row],[Quantity]]*5%</f>
        <v>201.75</v>
      </c>
      <c r="J999" s="1">
        <f>(supermarket_sales_new[[#This Row],[Unit price]]*supermarket_sales_new[[#This Row],[Quantity]])+supermarket_sales_new[[#This Row],[Tax 5%]]</f>
        <v>4236.75</v>
      </c>
    </row>
    <row r="1000" spans="1:10" x14ac:dyDescent="0.35">
      <c r="A1000" t="s">
        <v>525</v>
      </c>
      <c r="B1000" t="s">
        <v>1023</v>
      </c>
      <c r="C1000" t="s">
        <v>11</v>
      </c>
      <c r="D1000" t="s">
        <v>12</v>
      </c>
      <c r="E1000" t="s">
        <v>13</v>
      </c>
      <c r="F1000" t="s">
        <v>27</v>
      </c>
      <c r="G1000" s="1">
        <v>3184</v>
      </c>
      <c r="H1000">
        <v>1</v>
      </c>
      <c r="I1000" s="1">
        <f>supermarket_sales_new[[#This Row],[Unit price]]*supermarket_sales_new[[#This Row],[Quantity]]*5%</f>
        <v>159.20000000000002</v>
      </c>
      <c r="J1000" s="1">
        <f>(supermarket_sales_new[[#This Row],[Unit price]]*supermarket_sales_new[[#This Row],[Quantity]])+supermarket_sales_new[[#This Row],[Tax 5%]]</f>
        <v>3343.2</v>
      </c>
    </row>
    <row r="1001" spans="1:10" x14ac:dyDescent="0.35">
      <c r="A1001" t="s">
        <v>525</v>
      </c>
      <c r="B1001" t="s">
        <v>1024</v>
      </c>
      <c r="C1001" t="s">
        <v>11</v>
      </c>
      <c r="D1001" t="s">
        <v>12</v>
      </c>
      <c r="E1001" t="s">
        <v>18</v>
      </c>
      <c r="F1001" t="s">
        <v>22</v>
      </c>
      <c r="G1001" s="1">
        <v>6582</v>
      </c>
      <c r="H1001">
        <v>1</v>
      </c>
      <c r="I1001" s="1">
        <f>supermarket_sales_new[[#This Row],[Unit price]]*supermarket_sales_new[[#This Row],[Quantity]]*5%</f>
        <v>329.1</v>
      </c>
      <c r="J1001" s="1">
        <f>(supermarket_sales_new[[#This Row],[Unit price]]*supermarket_sales_new[[#This Row],[Quantity]])+supermarket_sales_new[[#This Row],[Tax 5%]]</f>
        <v>6911.1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57D49-7473-4025-969E-5FCDD8FDEDCB}">
  <dimension ref="A1:J90"/>
  <sheetViews>
    <sheetView topLeftCell="A63" zoomScale="71" zoomScaleNormal="25" workbookViewId="0">
      <selection activeCell="B53" sqref="B53"/>
    </sheetView>
  </sheetViews>
  <sheetFormatPr defaultRowHeight="15.5" x14ac:dyDescent="0.35"/>
  <cols>
    <col min="1" max="1" width="13.53515625" bestFit="1" customWidth="1"/>
    <col min="2" max="2" width="12.15234375" bestFit="1" customWidth="1"/>
    <col min="3" max="4" width="9.921875" bestFit="1" customWidth="1"/>
    <col min="5" max="5" width="11.3046875" bestFit="1" customWidth="1"/>
    <col min="6" max="6" width="18" bestFit="1" customWidth="1"/>
    <col min="7" max="7" width="18.84375" customWidth="1"/>
    <col min="8" max="8" width="11.69140625" bestFit="1" customWidth="1"/>
    <col min="9" max="9" width="10.3828125" bestFit="1" customWidth="1"/>
  </cols>
  <sheetData>
    <row r="1" spans="1:8" x14ac:dyDescent="0.35">
      <c r="A1" t="s">
        <v>1032</v>
      </c>
    </row>
    <row r="2" spans="1:8" x14ac:dyDescent="0.35">
      <c r="A2" s="2" t="s">
        <v>1027</v>
      </c>
      <c r="B2" t="s">
        <v>1026</v>
      </c>
    </row>
    <row r="3" spans="1:8" x14ac:dyDescent="0.35">
      <c r="A3" s="3" t="s">
        <v>14</v>
      </c>
      <c r="B3">
        <v>854</v>
      </c>
      <c r="E3" t="str" cm="1">
        <f t="array" ref="E3:E8">A3:A8</f>
        <v>Health and beauty</v>
      </c>
      <c r="F3" cm="1">
        <f t="array" ref="F3:F8">B3:B8</f>
        <v>854</v>
      </c>
    </row>
    <row r="4" spans="1:8" x14ac:dyDescent="0.35">
      <c r="A4" s="3" t="s">
        <v>29</v>
      </c>
      <c r="B4">
        <v>902</v>
      </c>
      <c r="E4" t="str">
        <v>Fashion accessories</v>
      </c>
      <c r="F4">
        <v>902</v>
      </c>
    </row>
    <row r="5" spans="1:8" x14ac:dyDescent="0.35">
      <c r="A5" s="3" t="s">
        <v>22</v>
      </c>
      <c r="B5">
        <v>911</v>
      </c>
      <c r="E5" t="str">
        <v>Home and lifestyle</v>
      </c>
      <c r="F5">
        <v>911</v>
      </c>
    </row>
    <row r="6" spans="1:8" x14ac:dyDescent="0.35">
      <c r="A6" s="3" t="s">
        <v>33</v>
      </c>
      <c r="B6">
        <v>920</v>
      </c>
      <c r="E6" t="str">
        <v>Sports and travel</v>
      </c>
      <c r="F6">
        <v>920</v>
      </c>
    </row>
    <row r="7" spans="1:8" x14ac:dyDescent="0.35">
      <c r="A7" s="3" t="s">
        <v>27</v>
      </c>
      <c r="B7">
        <v>952</v>
      </c>
      <c r="E7" t="str">
        <v>Food and beverages</v>
      </c>
      <c r="F7">
        <v>952</v>
      </c>
    </row>
    <row r="8" spans="1:8" x14ac:dyDescent="0.35">
      <c r="A8" s="3" t="s">
        <v>19</v>
      </c>
      <c r="B8">
        <v>971</v>
      </c>
      <c r="E8" t="str">
        <v>Electronic accessories</v>
      </c>
      <c r="F8">
        <v>971</v>
      </c>
    </row>
    <row r="14" spans="1:8" x14ac:dyDescent="0.35">
      <c r="F14" t="s">
        <v>1038</v>
      </c>
      <c r="G14" t="s">
        <v>1039</v>
      </c>
    </row>
    <row r="15" spans="1:8" x14ac:dyDescent="0.35">
      <c r="A15" s="2" t="s">
        <v>1027</v>
      </c>
      <c r="B15" t="s">
        <v>1028</v>
      </c>
      <c r="F15" t="b">
        <v>1</v>
      </c>
      <c r="G15" t="b">
        <v>1</v>
      </c>
    </row>
    <row r="16" spans="1:8" x14ac:dyDescent="0.35">
      <c r="A16" s="3" t="s">
        <v>14</v>
      </c>
      <c r="B16" s="1">
        <v>4281555.5999999978</v>
      </c>
      <c r="E16" s="4" t="str" cm="1">
        <f t="array" ref="E16:E21">A16:A21</f>
        <v>Health and beauty</v>
      </c>
      <c r="F16" s="1">
        <f t="shared" ref="F16:F21" si="0">IF($F$15=TRUE,VLOOKUP(E16,$A$16:$B$21,2,FALSE),"")</f>
        <v>4281555.5999999978</v>
      </c>
      <c r="G16" s="4">
        <f t="shared" ref="G16:G21" si="1">IFERROR(IF($G$15=TRUE,F16/$B$22,""),"")</f>
        <v>0.14650550866219714</v>
      </c>
      <c r="H16">
        <f>B16/$B$22</f>
        <v>0.14650550866219714</v>
      </c>
    </row>
    <row r="17" spans="1:8" x14ac:dyDescent="0.35">
      <c r="A17" s="3" t="s">
        <v>27</v>
      </c>
      <c r="B17" s="1">
        <v>4766016.1500000004</v>
      </c>
      <c r="E17" s="4" t="str">
        <v>Food and beverages</v>
      </c>
      <c r="F17" s="1">
        <f t="shared" si="0"/>
        <v>4766016.1500000004</v>
      </c>
      <c r="G17" s="4">
        <f t="shared" si="1"/>
        <v>0.16308269367049605</v>
      </c>
      <c r="H17">
        <f t="shared" ref="H17:H21" si="2">B17/$B$22</f>
        <v>0.16308269367049605</v>
      </c>
    </row>
    <row r="18" spans="1:8" x14ac:dyDescent="0.35">
      <c r="A18" s="3" t="s">
        <v>22</v>
      </c>
      <c r="B18" s="1">
        <v>4990689.8999999985</v>
      </c>
      <c r="E18" s="4" t="str">
        <v>Home and lifestyle</v>
      </c>
      <c r="F18" s="1">
        <f t="shared" si="0"/>
        <v>4990689.8999999985</v>
      </c>
      <c r="G18" s="4">
        <f t="shared" si="1"/>
        <v>0.17077054012209719</v>
      </c>
      <c r="H18">
        <f t="shared" si="2"/>
        <v>0.17077054012209719</v>
      </c>
    </row>
    <row r="19" spans="1:8" x14ac:dyDescent="0.35">
      <c r="A19" s="3" t="s">
        <v>29</v>
      </c>
      <c r="B19" s="1">
        <v>5037941.9999999991</v>
      </c>
      <c r="E19" s="4" t="str">
        <v>Fashion accessories</v>
      </c>
      <c r="F19" s="1">
        <f t="shared" si="0"/>
        <v>5037941.9999999991</v>
      </c>
      <c r="G19" s="4">
        <f t="shared" si="1"/>
        <v>0.1723874040829102</v>
      </c>
      <c r="H19">
        <f t="shared" si="2"/>
        <v>0.1723874040829102</v>
      </c>
    </row>
    <row r="20" spans="1:8" x14ac:dyDescent="0.35">
      <c r="A20" s="3" t="s">
        <v>33</v>
      </c>
      <c r="B20" s="1">
        <v>5056830.450000002</v>
      </c>
      <c r="E20" s="4" t="str">
        <v>Sports and travel</v>
      </c>
      <c r="F20" s="1">
        <f t="shared" si="0"/>
        <v>5056830.450000002</v>
      </c>
      <c r="G20" s="4">
        <f t="shared" si="1"/>
        <v>0.17303372570841727</v>
      </c>
      <c r="H20">
        <f t="shared" si="2"/>
        <v>0.17303372570841727</v>
      </c>
    </row>
    <row r="21" spans="1:8" x14ac:dyDescent="0.35">
      <c r="A21" s="3" t="s">
        <v>19</v>
      </c>
      <c r="B21" s="1">
        <v>5091502.5</v>
      </c>
      <c r="E21" s="4" t="str">
        <v>Electronic accessories</v>
      </c>
      <c r="F21" s="1">
        <f t="shared" si="0"/>
        <v>5091502.5</v>
      </c>
      <c r="G21" s="4">
        <f t="shared" si="1"/>
        <v>0.17422012775388199</v>
      </c>
      <c r="H21">
        <f t="shared" si="2"/>
        <v>0.17422012775388199</v>
      </c>
    </row>
    <row r="22" spans="1:8" x14ac:dyDescent="0.35">
      <c r="A22" s="3" t="s">
        <v>1025</v>
      </c>
      <c r="B22" s="1">
        <v>29224536.600000001</v>
      </c>
    </row>
    <row r="24" spans="1:8" x14ac:dyDescent="0.35">
      <c r="A24" s="6" t="s">
        <v>1037</v>
      </c>
    </row>
    <row r="25" spans="1:8" x14ac:dyDescent="0.35">
      <c r="A25" s="2" t="s">
        <v>1033</v>
      </c>
      <c r="B25" s="2" t="s">
        <v>1035</v>
      </c>
    </row>
    <row r="26" spans="1:8" x14ac:dyDescent="0.35">
      <c r="A26" s="2" t="s">
        <v>1027</v>
      </c>
      <c r="B26" t="s">
        <v>1036</v>
      </c>
      <c r="C26" t="s">
        <v>13</v>
      </c>
      <c r="E26" s="1"/>
      <c r="F26" s="1"/>
      <c r="G26" s="1"/>
    </row>
    <row r="27" spans="1:8" x14ac:dyDescent="0.35">
      <c r="A27" s="3" t="s">
        <v>11</v>
      </c>
      <c r="B27" s="1">
        <v>28022.588150289012</v>
      </c>
      <c r="C27" s="1">
        <v>29548.188323353283</v>
      </c>
      <c r="E27" s="1"/>
      <c r="F27" s="1"/>
      <c r="G27" s="1"/>
    </row>
    <row r="28" spans="1:8" x14ac:dyDescent="0.35">
      <c r="A28" s="3" t="s">
        <v>25</v>
      </c>
      <c r="B28" s="1">
        <v>29760.162574850303</v>
      </c>
      <c r="C28" s="1">
        <v>28740.803636363635</v>
      </c>
    </row>
    <row r="29" spans="1:8" x14ac:dyDescent="0.35">
      <c r="A29" s="3" t="s">
        <v>16</v>
      </c>
      <c r="B29" s="1">
        <v>30747.975471698104</v>
      </c>
      <c r="C29" s="1">
        <v>28644.813905325438</v>
      </c>
    </row>
    <row r="33" spans="1:4" x14ac:dyDescent="0.35">
      <c r="A33" t="s">
        <v>1028</v>
      </c>
      <c r="C33" t="s">
        <v>1030</v>
      </c>
    </row>
    <row r="34" spans="1:4" x14ac:dyDescent="0.35">
      <c r="A34" s="1">
        <v>29224536.599999994</v>
      </c>
      <c r="C34" s="1">
        <f>A34/1000</f>
        <v>29224.536599999996</v>
      </c>
      <c r="D34" s="1"/>
    </row>
    <row r="35" spans="1:4" x14ac:dyDescent="0.35">
      <c r="A35" s="1"/>
    </row>
    <row r="36" spans="1:4" x14ac:dyDescent="0.35">
      <c r="A36" t="s">
        <v>1026</v>
      </c>
    </row>
    <row r="37" spans="1:4" x14ac:dyDescent="0.35">
      <c r="A37">
        <v>5510</v>
      </c>
    </row>
    <row r="39" spans="1:4" x14ac:dyDescent="0.35">
      <c r="A39" t="s">
        <v>1029</v>
      </c>
    </row>
    <row r="40" spans="1:4" x14ac:dyDescent="0.35">
      <c r="A40" s="1">
        <v>1391644.5999999999</v>
      </c>
    </row>
    <row r="42" spans="1:4" x14ac:dyDescent="0.35">
      <c r="A42" s="2" t="s">
        <v>1027</v>
      </c>
      <c r="B42" t="s">
        <v>1028</v>
      </c>
    </row>
    <row r="43" spans="1:4" x14ac:dyDescent="0.35">
      <c r="A43" s="3" t="s">
        <v>19</v>
      </c>
      <c r="B43" s="1">
        <v>5091502.5</v>
      </c>
    </row>
    <row r="44" spans="1:4" x14ac:dyDescent="0.35">
      <c r="A44" s="3" t="s">
        <v>1025</v>
      </c>
      <c r="B44" s="1">
        <v>5091502.5</v>
      </c>
    </row>
    <row r="49" spans="1:7" x14ac:dyDescent="0.35">
      <c r="A49" s="6" t="s">
        <v>1041</v>
      </c>
    </row>
    <row r="50" spans="1:7" x14ac:dyDescent="0.35">
      <c r="A50" s="2" t="s">
        <v>1027</v>
      </c>
      <c r="B50" t="s">
        <v>1028</v>
      </c>
      <c r="F50" s="1"/>
    </row>
    <row r="51" spans="1:7" x14ac:dyDescent="0.35">
      <c r="A51" s="3" t="s">
        <v>11</v>
      </c>
      <c r="B51" s="1">
        <v>9782455.200000003</v>
      </c>
      <c r="E51" s="4"/>
      <c r="F51" s="7"/>
      <c r="G51" s="4"/>
    </row>
    <row r="52" spans="1:7" x14ac:dyDescent="0.35">
      <c r="A52" s="3" t="s">
        <v>25</v>
      </c>
      <c r="B52" s="1">
        <v>9712179.7500000037</v>
      </c>
      <c r="E52" s="1"/>
      <c r="F52" s="7"/>
      <c r="G52" s="4"/>
    </row>
    <row r="53" spans="1:7" x14ac:dyDescent="0.35">
      <c r="A53" s="3" t="s">
        <v>16</v>
      </c>
      <c r="B53" s="1">
        <v>9729901.6500000078</v>
      </c>
      <c r="E53" s="1"/>
      <c r="F53" s="7"/>
      <c r="G53" s="4"/>
    </row>
    <row r="54" spans="1:7" x14ac:dyDescent="0.35">
      <c r="A54" s="3" t="s">
        <v>1025</v>
      </c>
      <c r="B54" s="1">
        <v>29224536.600000016</v>
      </c>
      <c r="E54" s="1"/>
      <c r="F54" s="1"/>
    </row>
    <row r="55" spans="1:7" x14ac:dyDescent="0.35">
      <c r="F55" s="1"/>
      <c r="G55" s="1"/>
    </row>
    <row r="56" spans="1:7" x14ac:dyDescent="0.35">
      <c r="A56" s="5" t="s">
        <v>1040</v>
      </c>
      <c r="F56" s="1"/>
      <c r="G56" s="1"/>
    </row>
    <row r="57" spans="1:7" x14ac:dyDescent="0.35">
      <c r="A57" s="2" t="s">
        <v>1027</v>
      </c>
      <c r="B57" t="s">
        <v>1033</v>
      </c>
      <c r="F57" s="1"/>
      <c r="G57" s="4"/>
    </row>
    <row r="58" spans="1:7" x14ac:dyDescent="0.35">
      <c r="A58" s="3" t="s">
        <v>11</v>
      </c>
      <c r="B58" s="1">
        <v>28771.927058823538</v>
      </c>
      <c r="G58" s="4"/>
    </row>
    <row r="59" spans="1:7" x14ac:dyDescent="0.35">
      <c r="A59" s="3" t="s">
        <v>25</v>
      </c>
      <c r="B59" s="1">
        <v>29253.553463855435</v>
      </c>
      <c r="G59" s="4"/>
    </row>
    <row r="60" spans="1:7" x14ac:dyDescent="0.35">
      <c r="A60" s="3" t="s">
        <v>16</v>
      </c>
      <c r="B60" s="1">
        <v>29664.334298780512</v>
      </c>
    </row>
    <row r="63" spans="1:7" x14ac:dyDescent="0.35">
      <c r="F63" s="1"/>
    </row>
    <row r="64" spans="1:7" x14ac:dyDescent="0.35">
      <c r="F64" s="1"/>
    </row>
    <row r="65" spans="1:10" x14ac:dyDescent="0.35">
      <c r="F65" s="1"/>
    </row>
    <row r="66" spans="1:10" x14ac:dyDescent="0.35">
      <c r="F66" s="1"/>
    </row>
    <row r="69" spans="1:10" x14ac:dyDescent="0.35">
      <c r="I69" t="s">
        <v>11</v>
      </c>
    </row>
    <row r="70" spans="1:10" x14ac:dyDescent="0.35">
      <c r="A70" s="2" t="s">
        <v>1028</v>
      </c>
      <c r="B70" s="2" t="s">
        <v>1035</v>
      </c>
    </row>
    <row r="71" spans="1:10" x14ac:dyDescent="0.35">
      <c r="A71" s="2" t="s">
        <v>1027</v>
      </c>
      <c r="B71" t="s">
        <v>11</v>
      </c>
      <c r="C71" t="s">
        <v>25</v>
      </c>
      <c r="D71" t="s">
        <v>16</v>
      </c>
      <c r="H71" t="str">
        <f>B71</f>
        <v>A</v>
      </c>
      <c r="I71" t="str">
        <f>C71</f>
        <v>B</v>
      </c>
      <c r="J71" t="str">
        <f>D71</f>
        <v>C</v>
      </c>
    </row>
    <row r="72" spans="1:10" x14ac:dyDescent="0.35">
      <c r="A72" s="3" t="s">
        <v>14</v>
      </c>
      <c r="B72" s="1">
        <v>1101270.4500000002</v>
      </c>
      <c r="C72" s="1">
        <v>1858404.45</v>
      </c>
      <c r="D72" s="1">
        <v>1321880.7000000002</v>
      </c>
      <c r="G72" t="str" cm="1">
        <f t="array" ref="G72:G77">A72:A77</f>
        <v>Health and beauty</v>
      </c>
      <c r="H72" s="8">
        <f>IFERROR(IF(OR($H$71="A",$H$71="B",$H$71="C"),B72/$B$78,""),"")</f>
        <v>0.11257607906039785</v>
      </c>
      <c r="I72" s="8">
        <f>IFERROR(IF(OR($I$71="A",$I$71="B",$I$71="C"),C72/$C$78,""),"")</f>
        <v>0.19134782282010379</v>
      </c>
      <c r="J72" s="8">
        <f>IFERROR(IF(OR($J$71="A",$J$71="B",$J$71="C"),D72/$D$78,""),"")</f>
        <v>0.13585756028685042</v>
      </c>
    </row>
    <row r="73" spans="1:10" x14ac:dyDescent="0.35">
      <c r="A73" s="3" t="s">
        <v>27</v>
      </c>
      <c r="B73" s="1">
        <v>1609118.7000000002</v>
      </c>
      <c r="C73" s="1">
        <v>1212247.05</v>
      </c>
      <c r="D73" s="1">
        <v>1944650.4</v>
      </c>
      <c r="G73" t="str">
        <v>Food and beverages</v>
      </c>
      <c r="H73" s="8">
        <f t="shared" ref="H73:H77" si="3">IFERROR(IF(OR($H$71="A",$H$71="B",$H$71="C"),B73/$B$78,""),"")</f>
        <v>0.16449027029533445</v>
      </c>
      <c r="I73" s="8">
        <f t="shared" ref="I73:I77" si="4">IFERROR(IF(OR($I$71="A",$I$71="B",$I$71="C"),C73/$C$78,""),"")</f>
        <v>0.12481719667513362</v>
      </c>
      <c r="J73" s="8">
        <f t="shared" ref="J73:J77" si="5">IFERROR(IF(OR($J$71="A",$J$71="B",$J$71="C"),D73/$D$78,""),"")</f>
        <v>0.19986331516516409</v>
      </c>
    </row>
    <row r="74" spans="1:10" x14ac:dyDescent="0.35">
      <c r="A74" s="3" t="s">
        <v>22</v>
      </c>
      <c r="B74" s="1">
        <v>2153758.9500000002</v>
      </c>
      <c r="C74" s="1">
        <v>1625120.7</v>
      </c>
      <c r="D74" s="1">
        <v>1211810.2500000002</v>
      </c>
      <c r="G74" t="str">
        <v>Home and lifestyle</v>
      </c>
      <c r="H74" s="8">
        <f t="shared" si="3"/>
        <v>0.2201654805431667</v>
      </c>
      <c r="I74" s="8">
        <f t="shared" si="4"/>
        <v>0.16732811189990587</v>
      </c>
      <c r="J74" s="8">
        <f t="shared" si="5"/>
        <v>0.12454496392571454</v>
      </c>
    </row>
    <row r="75" spans="1:10" x14ac:dyDescent="0.35">
      <c r="A75" s="3" t="s">
        <v>29</v>
      </c>
      <c r="B75" s="1">
        <v>1456063.3500000003</v>
      </c>
      <c r="C75" s="1">
        <v>1620295.9499999997</v>
      </c>
      <c r="D75" s="1">
        <v>1961582.6999999997</v>
      </c>
      <c r="G75" t="str">
        <v>Fashion accessories</v>
      </c>
      <c r="H75" s="8">
        <f t="shared" si="3"/>
        <v>0.14884436680067803</v>
      </c>
      <c r="I75" s="8">
        <f t="shared" si="4"/>
        <v>0.16683133876306189</v>
      </c>
      <c r="J75" s="8">
        <f t="shared" si="5"/>
        <v>0.20160354858263135</v>
      </c>
    </row>
    <row r="76" spans="1:10" x14ac:dyDescent="0.35">
      <c r="A76" s="3" t="s">
        <v>33</v>
      </c>
      <c r="B76" s="1">
        <v>1761481.0500000003</v>
      </c>
      <c r="C76" s="1">
        <v>1844076.1500000004</v>
      </c>
      <c r="D76" s="1">
        <v>1451273.25</v>
      </c>
      <c r="G76" t="str">
        <v>Sports and travel</v>
      </c>
      <c r="H76" s="8">
        <f t="shared" si="3"/>
        <v>0.18006533267844663</v>
      </c>
      <c r="I76" s="8">
        <f t="shared" si="4"/>
        <v>0.18987253093210105</v>
      </c>
      <c r="J76" s="8">
        <f t="shared" si="5"/>
        <v>0.14915600405888996</v>
      </c>
    </row>
    <row r="77" spans="1:10" x14ac:dyDescent="0.35">
      <c r="A77" s="3" t="s">
        <v>19</v>
      </c>
      <c r="B77" s="1">
        <v>1700762.7</v>
      </c>
      <c r="C77" s="1">
        <v>1552035.45</v>
      </c>
      <c r="D77" s="1">
        <v>1838704.35</v>
      </c>
      <c r="G77" t="str">
        <v>Electronic accessories</v>
      </c>
      <c r="H77" s="8">
        <f t="shared" si="3"/>
        <v>0.17385847062197635</v>
      </c>
      <c r="I77" s="8">
        <f t="shared" si="4"/>
        <v>0.15980299890969377</v>
      </c>
      <c r="J77" s="8">
        <f t="shared" si="5"/>
        <v>0.18897460798074978</v>
      </c>
    </row>
    <row r="78" spans="1:10" x14ac:dyDescent="0.35">
      <c r="A78" s="3" t="s">
        <v>1025</v>
      </c>
      <c r="B78" s="1">
        <v>9782455.2000000011</v>
      </c>
      <c r="C78" s="1">
        <v>9712179.75</v>
      </c>
      <c r="D78" s="1">
        <v>9729901.6499999985</v>
      </c>
    </row>
    <row r="83" spans="5:7" x14ac:dyDescent="0.35">
      <c r="E83" s="1"/>
    </row>
    <row r="84" spans="5:7" x14ac:dyDescent="0.35">
      <c r="F84" s="1"/>
      <c r="G84" s="8"/>
    </row>
    <row r="85" spans="5:7" x14ac:dyDescent="0.35">
      <c r="F85" s="1"/>
      <c r="G85" s="8"/>
    </row>
    <row r="86" spans="5:7" x14ac:dyDescent="0.35">
      <c r="F86" s="1"/>
      <c r="G86" s="8"/>
    </row>
    <row r="87" spans="5:7" x14ac:dyDescent="0.35">
      <c r="F87" s="1"/>
      <c r="G87" s="8"/>
    </row>
    <row r="88" spans="5:7" x14ac:dyDescent="0.35">
      <c r="F88" s="1"/>
      <c r="G88" s="8"/>
    </row>
    <row r="89" spans="5:7" x14ac:dyDescent="0.35">
      <c r="F89" s="1"/>
      <c r="G89" s="8"/>
    </row>
    <row r="90" spans="5:7" x14ac:dyDescent="0.35">
      <c r="F90" s="1"/>
    </row>
  </sheetData>
  <pageMargins left="0.7" right="0.7" top="0.75" bottom="0.75" header="0.3" footer="0.3"/>
  <drawing r:id="rId11"/>
  <legacyDrawing r:id="rId12"/>
  <mc:AlternateContent xmlns:mc="http://schemas.openxmlformats.org/markup-compatibility/2006">
    <mc:Choice Requires="x14">
      <controls>
        <mc:AlternateContent xmlns:mc="http://schemas.openxmlformats.org/markup-compatibility/2006">
          <mc:Choice Requires="x14">
            <control shapeId="1025" r:id="rId13" name="Check Box 1">
              <controlPr defaultSize="0" autoFill="0" autoLine="0" autoPict="0">
                <anchor moveWithCells="1">
                  <from>
                    <xdr:col>5</xdr:col>
                    <xdr:colOff>241300</xdr:colOff>
                    <xdr:row>11</xdr:row>
                    <xdr:rowOff>184150</xdr:rowOff>
                  </from>
                  <to>
                    <xdr:col>5</xdr:col>
                    <xdr:colOff>1003300</xdr:colOff>
                    <xdr:row>13</xdr:row>
                    <xdr:rowOff>6350</xdr:rowOff>
                  </to>
                </anchor>
              </controlPr>
            </control>
          </mc:Choice>
        </mc:AlternateContent>
        <mc:AlternateContent xmlns:mc="http://schemas.openxmlformats.org/markup-compatibility/2006">
          <mc:Choice Requires="x14">
            <control shapeId="1026" r:id="rId14" name="Check Box 2">
              <controlPr defaultSize="0" autoFill="0" autoLine="0" autoPict="0">
                <anchor moveWithCells="1">
                  <from>
                    <xdr:col>6</xdr:col>
                    <xdr:colOff>444500</xdr:colOff>
                    <xdr:row>11</xdr:row>
                    <xdr:rowOff>165100</xdr:rowOff>
                  </from>
                  <to>
                    <xdr:col>6</xdr:col>
                    <xdr:colOff>1206500</xdr:colOff>
                    <xdr:row>12</xdr:row>
                    <xdr:rowOff>184150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3BAC7-CFB8-4762-ABCA-D495416A5E7D}">
  <dimension ref="A1"/>
  <sheetViews>
    <sheetView showGridLines="0" tabSelected="1" zoomScale="62" zoomScaleNormal="59" workbookViewId="0">
      <selection activeCell="X24" sqref="X24"/>
    </sheetView>
  </sheetViews>
  <sheetFormatPr defaultRowHeight="15.5" x14ac:dyDescent="0.35"/>
  <sheetData/>
  <pageMargins left="0.7" right="0.7" top="0.75" bottom="0.75" header="0.3" footer="0.3"/>
  <pageSetup paperSize="9" scale="34" orientation="portrait" horizontalDpi="300"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AACD42-101E-4D36-83F9-DD6478BE2C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Sheet3</vt:lpstr>
      <vt:lpstr>supermarket_sales new</vt:lpstr>
      <vt:lpstr>Analysis</vt: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Axel Joshua</dc:creator>
  <cp:lastModifiedBy>Axel Joshua</cp:lastModifiedBy>
  <cp:lastPrinted>2026-04-26T06:53:52Z</cp:lastPrinted>
  <dcterms:created xsi:type="dcterms:W3CDTF">2026-04-22T11:30:48Z</dcterms:created>
  <dcterms:modified xsi:type="dcterms:W3CDTF">2026-05-01T15:30:01Z</dcterms:modified>
</cp:coreProperties>
</file>